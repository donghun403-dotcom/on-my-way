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daaf3b6a84f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대시보드" sheetId="1" r:id="R628710d529a643d5"/>
    <x:sheet xmlns:r="http://schemas.openxmlformats.org/officeDocument/2006/relationships" name="전체 체크리스트" sheetId="2" r:id="Rca86ce89c5be4dff"/>
    <x:sheet xmlns:r="http://schemas.openxmlformats.org/officeDocument/2006/relationships" name="일일 점검" sheetId="3" r:id="Rd323914821014781"/>
    <x:sheet xmlns:r="http://schemas.openxmlformats.org/officeDocument/2006/relationships" name="Codex 점검 결과" sheetId="4" r:id="R877287bd15b34cdb"/>
  </x:sheets>
</x:workbook>
</file>

<file path=xl/comments1.xml><?xml version="1.0" encoding="utf-8"?>
<x:comments xmlns:x="http://schemas.openxmlformats.org/spreadsheetml/2006/main">
  <x:authors>
    <x:author>tc={2F6C9CFA-24E3-A117-1CC8-3B8245979769}</x:author>
    <x:author>tc={AEDAD88D-5590-B772-9A66-B5ABC3ADA84F}</x:author>
  </x:authors>
  <x:commentList>
    <x:comment ref="F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상태를 완료·진행 중·미완료·확인 필요·해당 없음 중 하나로 선택하면 대시보드가 자동 계산됩니다.</x:t>
        </x:r>
      </x:text>
    </x:comment>
    <x:comment ref="I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완료 시 GitHub Actions 실행, 스크린샷, 테스트 계정, 설정 화면 등 확인 가능한 증거를 남겨 주세요.</x:t>
        </x:r>
      </x:text>
    </x:comment>
  </x:commentList>
</x:comments>
</file>

<file path=xl/comments2.xml><?xml version="1.0" encoding="utf-8"?>
<x:comments xmlns:x="http://schemas.openxmlformats.org/spreadsheetml/2006/main">
  <x:authors>
    <x:author>tc={5A973C4C-C64D-BB30-BBBC-08D0E2A74D5B}</x:author>
  </x:authors>
  <x:commentList>
    <x:comment ref="P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운영 점검 항목이 모두 정상이고 치명적·높은 버그가 0건이면 GO로 계산됩니다.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<x:sst xmlns:x="http://schemas.openxmlformats.org/spreadsheetml/2006/main">
  <x:si>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On My Way 출시 준비 대시보드</x:t>
  </x:si>
  <x:si>
    <x:t xml:space="preserve">P0 완료율</x:t>
  </x:si>
  <x:si>
    <x:t xml:space="preserve">무료 웹 베타</x:t>
  </x:si>
  <x:si>
    <x:t xml:space="preserve">스토어 베타</x:t>
  </x:si>
  <x:si>
    <x:t xml:space="preserve">유료 정식 출시</x:t>
  </x:si>
  <x:si>
    <x:t xml:space="preserve">현재 판단</x:t>
  </x:si>
  <x:si>
    <x:t xml:space="preserve">상태</x:t>
  </x:si>
  <x:si>
    <x:t xml:space="preserve">건수</x:t>
  </x:si>
  <x:si>
    <x:t xml:space="preserve">비율</x:t>
  </x:si>
  <x:si>
    <x:t xml:space="preserve">의미</x:t>
  </x:si>
  <x:si>
    <x:t xml:space="preserve">완료</x:t>
  </x:si>
  <x:si>
    <x:t xml:space="preserve">완료 증거 확인</x:t>
  </x:si>
  <x:si>
    <x:t xml:space="preserve">진행 중</x:t>
  </x:si>
  <x:si>
    <x:t xml:space="preserve">작업 중</x:t>
  </x:si>
  <x:si>
    <x:t xml:space="preserve">미완료</x:t>
  </x:si>
  <x:si>
    <x:t xml:space="preserve">착수 필요</x:t>
  </x:si>
  <x:si>
    <x:t xml:space="preserve">확인 필요</x:t>
  </x:si>
  <x:si>
    <x:t xml:space="preserve">상태 확인 필요</x:t>
  </x:si>
  <x:si>
    <x:t xml:space="preserve">출시 차단</x:t>
  </x:si>
  <x:si>
    <x:t xml:space="preserve">P0 미완료</x:t>
  </x:si>
  <x:si>
    <x:t xml:space="preserve">작업 묶음</x:t>
  </x:si>
  <x:si>
    <x:t xml:space="preserve">진행률</x:t>
  </x:si>
  <x:si>
    <x:t xml:space="preserve">P0 차단 건수</x:t>
  </x:si>
  <x:si>
    <x:t xml:space="preserve">공통</x:t>
  </x:si>
  <x:si>
    <x:t xml:space="preserve">무료 웹</x:t>
  </x:si>
  <x:si>
    <x:t xml:space="preserve">스토어</x:t>
  </x:si>
  <x:si>
    <x:t xml:space="preserve">유료</x:t>
  </x:si>
  <x:si>
    <x:t xml:space="preserve">백로그</x:t>
  </x:si>
  <x:si>
    <x:t xml:space="preserve">오늘 우선 ID</x:t>
  </x:si>
  <x:si>
    <x:t xml:space="preserve">작업</x:t>
  </x:si>
  <x:si>
    <x:t xml:space="preserve">담당자</x:t>
  </x:si>
  <x:si>
    <x:t xml:space="preserve">완료 증거</x:t>
  </x:si>
  <x:si>
    <x:t xml:space="preserve">상태 기준</x:t>
  </x:si>
  <x:si>
    <x:t xml:space="preserve">사용법  ① 전체 체크리스트의 상태·담당자·목표일·증거를 업데이트합니다. ② 대시보드에서 출시 판정과 차단 건수를 확인합니다. ③ 일일 점검 시트에 운영 상태를 한 줄씩 기록합니다.</x:t>
  </x:si>
  <x:si>
    <x:t xml:space="preserve">해당 없음</x:t>
  </x:si>
  <x:si>
    <x:t xml:space="preserve">On My Way 전체 출시 준비 체크리스트</x:t>
  </x:si>
  <x:si>
    <x:t xml:space="preserve">상태는 드롭다운으로 변경합니다. 완료 시 완료 증거 또는 링크와 최종 업데이트 날짜를 함께 남겨 주세요.</x:t>
  </x:si>
  <x:si>
    <x:t xml:space="preserve">ID</x:t>
  </x:si>
  <x:si>
    <x:t xml:space="preserve">적용 게이트</x:t>
  </x:si>
  <x:si>
    <x:t xml:space="preserve">우선순위</x:t>
  </x:si>
  <x:si>
    <x:t xml:space="preserve">영역</x:t>
  </x:si>
  <x:si>
    <x:t xml:space="preserve">목표일</x:t>
  </x:si>
  <x:si>
    <x:t xml:space="preserve">근거/링크</x:t>
  </x:si>
  <x:si>
    <x:t xml:space="preserve">최종 업데이트</x:t>
  </x:si>
  <x:si>
    <x:t xml:space="preserve">C01</x:t>
  </x:si>
  <x:si>
    <x:t xml:space="preserve">P0</x:t>
  </x:si>
  <x:si>
    <x:t xml:space="preserve">코드·배포</x:t>
  </x:si>
  <x:si>
    <x:t xml:space="preserve">PR #3을 main에 병합</x:t>
  </x:si>
  <x:si>
    <x:t xml:space="preserve">병합 커밋 d45d99e</x:t>
  </x:si>
  <x:si>
    <x:t xml:space="preserve">https://github.com/donghun403-dotcom/on-my-way/pull/3</x:t>
  </x:si>
  <x:si>
    <x:t xml:space="preserve">C02</x:t>
  </x:si>
  <x:si>
    <x:t xml:space="preserve">운영 Production workflow 최종 성공</x:t>
  </x:si>
  <x:si>
    <x:t xml:space="preserve">validate-and-deploy 성공</x:t>
  </x:si>
  <x:si>
    <x:t xml:space="preserve">C03</x:t>
  </x:si>
  <x:si>
    <x:t xml:space="preserve">품질</x:t>
  </x:si>
  <x:si>
    <x:t xml:space="preserve">단위 테스트 52/52 통과</x:t>
  </x:si>
  <x:si>
    <x:t xml:space="preserve">GitHub Actions 로그</x:t>
  </x:si>
  <x:si>
    <x:t xml:space="preserve">C04</x:t>
  </x:si>
  <x:si>
    <x:t xml:space="preserve">Playwright 108/108 통과</x:t>
  </x:si>
  <x:si>
    <x:t xml:space="preserve">데스크톱·모바일·iPhone·태블릿</x:t>
  </x:si>
  <x:si>
    <x:t xml:space="preserve">C05</x:t>
  </x:si>
  <x:si>
    <x:t xml:space="preserve">운영</x:t>
  </x:si>
  <x:si>
    <x:t xml:space="preserve">운영 루트·인증 API·헬스체크 통과</x:t>
  </x:si>
  <x:si>
    <x:t xml:space="preserve">accountStorage·AI 정상</x:t>
  </x:si>
  <x:si>
    <x:t xml:space="preserve">C06</x:t>
  </x:si>
  <x:si>
    <x:t xml:space="preserve">배포</x:t>
  </x:si>
  <x:si>
    <x:t xml:space="preserve">Preview·Production 분리 및 main 전용 배포</x:t>
  </x:si>
  <x:si>
    <x:t xml:space="preserve">wrangler.production.jsonc</x:t>
  </x:si>
  <x:si>
    <x:t xml:space="preserve">C07</x:t>
  </x:si>
  <x:si>
    <x:t xml:space="preserve">데이터</x:t>
  </x:si>
  <x:si>
    <x:t xml:space="preserve">회원 목표·계획·기록·올리 상태 서버 동기화</x:t>
  </x:si>
  <x:si>
    <x:t xml:space="preserve">revision 충돌 방지 포함</x:t>
  </x:si>
  <x:si>
    <x:t xml:space="preserve">C08</x:t>
  </x:si>
  <x:si>
    <x:t xml:space="preserve">보안</x:t>
  </x:si>
  <x:si>
    <x:t xml:space="preserve">익명·계정 A·계정 B 데이터 격리 구현</x:t>
  </x:si>
  <x:si>
    <x:t xml:space="preserve">교차 계정 E2E 통과</x:t>
  </x:si>
  <x:si>
    <x:t xml:space="preserve">https://github.com/donghun403-dotcom/on-my-way/actions/runs/29382451230</x:t>
  </x:si>
  <x:si>
    <x:t xml:space="preserve">C09</x:t>
  </x:si>
  <x:si>
    <x:t xml:space="preserve">AI</x:t>
  </x:si>
  <x:si>
    <x:t xml:space="preserve">AI timeout·오류 표준화·rate limit 구현</x:t>
  </x:si>
  <x:si>
    <x:t xml:space="preserve">45초 timeout·readiness API</x:t>
  </x:si>
  <x:si>
    <x:t xml:space="preserve">C10</x:t>
  </x:si>
  <x:si>
    <x:t xml:space="preserve">인프라</x:t>
  </x:si>
  <x:si>
    <x:t xml:space="preserve">운영 도메인 onmyway.olivenrich.com 연결</x:t>
  </x:si>
  <x:si>
    <x:t xml:space="preserve">Cloudflare custom domain</x:t>
  </x:si>
  <x:si>
    <x:t xml:space="preserve">https://onmyway.olivenrich.com</x:t>
  </x:si>
  <x:si>
    <x:t xml:space="preserve">C11</x:t>
  </x:si>
  <x:si>
    <x:t xml:space="preserve">인증</x:t>
  </x:si>
  <x:si>
    <x:t xml:space="preserve">Google 운영 로그인 수동 확인</x:t>
  </x:si>
  <x:si>
    <x:t xml:space="preserve">PR 병합 기록</x:t>
  </x:si>
  <x:si>
    <x:t xml:space="preserve">C12</x:t>
  </x:si>
  <x:si>
    <x:t xml:space="preserve">법률</x:t>
  </x:si>
  <x:si>
    <x:t xml:space="preserve">개인정보·약관·지원·탈퇴 공개 페이지 구현</x:t>
  </x:si>
  <x:si>
    <x:t xml:space="preserve">공개 경로 E2E 통과</x:t>
  </x:si>
  <x:si>
    <x:t xml:space="preserve">C13</x:t>
  </x:si>
  <x:si>
    <x:t xml:space="preserve">계정</x:t>
  </x:si>
  <x:si>
    <x:t xml:space="preserve">계정 탈퇴·세션 폐기·7일 tombstone 구현</x:t>
  </x:si>
  <x:si>
    <x:t xml:space="preserve">자동화 테스트 통과</x:t>
  </x:si>
  <x:si>
    <x:t xml:space="preserve">C14</x:t>
  </x:si>
  <x:si>
    <x:t xml:space="preserve">결제</x:t>
  </x:si>
  <x:si>
    <x:t xml:space="preserve">결제 중복 방지·승인 복구·갱신 실패 처리</x:t>
  </x:si>
  <x:si>
    <x:t xml:space="preserve">제품 코드 구현</x:t>
  </x:si>
  <x:si>
    <x:t xml:space="preserve">C15</x:t>
  </x:si>
  <x:si>
    <x:t xml:space="preserve">운영 실결제 비활성화 유지</x:t>
  </x:si>
  <x:si>
    <x:t xml:space="preserve">PAYMENTS_ENABLED=false</x:t>
  </x:si>
  <x:si>
    <x:t xml:space="preserve">https://github.com/donghun403-dotcom/on-my-way/commit/d45d99e23053f4fb9d654596f47ebb84fa7529df</x:t>
  </x:si>
  <x:si>
    <x:t xml:space="preserve">C16</x:t>
  </x:si>
  <x:si>
    <x:t xml:space="preserve">P1</x:t>
  </x:si>
  <x:si>
    <x:t xml:space="preserve">이메일</x:t>
  </x:si>
  <x:si>
    <x:t xml:space="preserve">Google Workspace·MX·SPF·2단계 인증</x:t>
  </x:si>
  <x:si>
    <x:t xml:space="preserve">steve@olivenrich.com</x:t>
  </x:si>
  <x:si>
    <x:t xml:space="preserve">W01</x:t>
  </x:si>
  <x:si>
    <x:t xml:space="preserve">실계정 QA</x:t>
  </x:si>
  <x:si>
    <x:t xml:space="preserve">Google 계정으로 로그인부터 목표 생성까지 전체 흐름 검증</x:t>
  </x:si>
  <x:si>
    <x:t xml:space="preserve">W02</x:t>
  </x:si>
  <x:si>
    <x:t xml:space="preserve">새로고침 후 세션·목표·계획·기록 유지 확인</x:t>
  </x:si>
  <x:si>
    <x:t xml:space="preserve">W03</x:t>
  </x:si>
  <x:si>
    <x:t xml:space="preserve">운영에서 실제 AI 계획 생성 성공 확인</x:t>
  </x:si>
  <x:si>
    <x:t xml:space="preserve">W04</x:t>
  </x:si>
  <x:si>
    <x:t xml:space="preserve">동기화 QA</x:t>
  </x:si>
  <x:si>
    <x:t xml:space="preserve">PC와 휴대전화에서 동일 계정 데이터 복원</x:t>
  </x:si>
  <x:si>
    <x:t xml:space="preserve">W05</x:t>
  </x:si>
  <x:si>
    <x:t xml:space="preserve">계정 A/B 수동 데이터 격리 검증</x:t>
  </x:si>
  <x:si>
    <x:t xml:space="preserve">W06</x:t>
  </x:si>
  <x:si>
    <x:t xml:space="preserve">인증 QA</x:t>
  </x:si>
  <x:si>
    <x:t xml:space="preserve">로그아웃 후 회원 UI 초기화 및 보호 API 401 확인</x:t>
  </x:si>
  <x:si>
    <x:t xml:space="preserve">W07</x:t>
  </x:si>
  <x:si>
    <x:t xml:space="preserve">탈퇴 QA</x:t>
  </x:si>
  <x:si>
    <x:t xml:space="preserve">실제 Google 테스트 계정으로 계정 탈퇴 성공</x:t>
  </x:si>
  <x:si>
    <x:t xml:space="preserve">https://support.google.com/googleplay/android-developer/answer/13327111</x:t>
  </x:si>
  <x:si>
    <x:t xml:space="preserve">W08</x:t>
  </x:si>
  <x:si>
    <x:t xml:space="preserve">탈퇴 직후 모든 세션과 서버 동기화 데이터 삭제</x:t>
  </x:si>
  <x:si>
    <x:t xml:space="preserve">W09</x:t>
  </x:si>
  <x:si>
    <x:t xml:space="preserve">동일 Google 계정 재로그인 차단 확인</x:t>
  </x:si>
  <x:si>
    <x:t xml:space="preserve">W10</x:t>
  </x:si>
  <x:si>
    <x:t xml:space="preserve">오래된 tombstone을 이용한 Cron 영구 삭제 검증</x:t>
  </x:si>
  <x:si>
    <x:t xml:space="preserve">W11</x:t>
  </x:si>
  <x:si>
    <x:t xml:space="preserve">인증 UI</x:t>
  </x:si>
  <x:si>
    <x:t xml:space="preserve">미검증 Kakao 로그인 버튼 숨김</x:t>
  </x:si>
  <x:si>
    <x:t xml:space="preserve">W12</x:t>
  </x:si>
  <x:si>
    <x:t xml:space="preserve">미검증 Naver 로그인 버튼 숨김</x:t>
  </x:si>
  <x:si>
    <x:t xml:space="preserve">W13</x:t>
  </x:si>
  <x:si>
    <x:t xml:space="preserve">미검증 Apple 로그인 버튼 숨김</x:t>
  </x:si>
  <x:si>
    <x:t xml:space="preserve">W14</x:t>
  </x:si>
  <x:si>
    <x:t xml:space="preserve">보안 QA</x:t>
  </x:si>
  <x:si>
    <x:t xml:space="preserve">OAuth code·state·token이 주소창에 남지 않음</x:t>
  </x:si>
  <x:si>
    <x:t xml:space="preserve">W15</x:t>
  </x:si>
  <x:si>
    <x:t xml:space="preserve">브라우저 Console·Network에 Secret·access token 미노출</x:t>
  </x:si>
  <x:si>
    <x:t xml:space="preserve">W16</x:t>
  </x:si>
  <x:si>
    <x:t xml:space="preserve">support@olivenrich.com 외부 수신·발신 확인</x:t>
  </x:si>
  <x:si>
    <x:t xml:space="preserve">W17</x:t>
  </x:si>
  <x:si>
    <x:t xml:space="preserve">privacy@olivenrich.com 외부 수신·발신 확인</x:t>
  </x:si>
  <x:si>
    <x:t xml:space="preserve">W18</x:t>
  </x:si>
  <x:si>
    <x:t xml:space="preserve">DKIM 인증 정상 확인</x:t>
  </x:si>
  <x:si>
    <x:t xml:space="preserve">W19</x:t>
  </x:si>
  <x:si>
    <x:t xml:space="preserve">DMARC TXT 레코드와 보고 주소 확인</x:t>
  </x:si>
  <x:si>
    <x:t xml:space="preserve">W20</x:t>
  </x:si>
  <x:si>
    <x:t xml:space="preserve">운영 감시</x:t>
  </x:si>
  <x:si>
    <x:t xml:space="preserve">홈페이지와 /api/health 장애 감시 설정</x:t>
  </x:si>
  <x:si>
    <x:t xml:space="preserve">W21</x:t>
  </x:si>
  <x:si>
    <x:t xml:space="preserve">OAuth·AI 429·5xx·Worker·Cron 오류 알림</x:t>
  </x:si>
  <x:si>
    <x:t xml:space="preserve">W22</x:t>
  </x:si>
  <x:si>
    <x:t xml:space="preserve">직전 정상 Worker 버전과 롤백 절차 기록</x:t>
  </x:si>
  <x:si>
    <x:t xml:space="preserve">W23</x:t>
  </x:si>
  <x:si>
    <x:t xml:space="preserve">문서</x:t>
  </x:si>
  <x:si>
    <x:t xml:space="preserve">auth 운영 문서를 현재 구현·production config에 맞게 수정</x:t>
  </x:si>
  <x:si>
    <x:t xml:space="preserve">W24</x:t>
  </x:si>
  <x:si>
    <x:t xml:space="preserve">출시</x:t>
  </x:si>
  <x:si>
    <x:t xml:space="preserve">운영 도메인 최종 smoke test 및 치명적 버그 0건</x:t>
  </x:si>
  <x:si>
    <x:t xml:space="preserve">W25</x:t>
  </x:si>
  <x:si>
    <x:t xml:space="preserve">무료 웹 베타 GO 승인</x:t>
  </x:si>
  <x:si>
    <x:t xml:space="preserve">S01</x:t>
  </x:si>
  <x:si>
    <x:t xml:space="preserve">개인·사업자·조직 개발자 계정 유형 확정</x:t>
  </x:si>
  <x:si>
    <x:t xml:space="preserve">https://developer.apple.com/help/account/membership/program-enrollment/</x:t>
  </x:si>
  <x:si>
    <x:t xml:space="preserve">S02</x:t>
  </x:si>
  <x:si>
    <x:t xml:space="preserve">Apple Developer Program 가입·신원 확인</x:t>
  </x:si>
  <x:si>
    <x:t xml:space="preserve">S03</x:t>
  </x:si>
  <x:si>
    <x:t xml:space="preserve">Google Play Console 가입·신원 확인</x:t>
  </x:si>
  <x:si>
    <x:t xml:space="preserve">https://support.google.com/googleplay/android-developer/answer/10841920</x:t>
  </x:si>
  <x:si>
    <x:t xml:space="preserve">S04</x:t>
  </x:si>
  <x:si>
    <x:t xml:space="preserve">조직 계정 선택 시 D-U-N-S 준비</x:t>
  </x:si>
  <x:si>
    <x:t xml:space="preserve">https://support.google.com/googleplay/android-developer/answer/13628312</x:t>
  </x:si>
  <x:si>
    <x:t xml:space="preserve">S05</x:t>
  </x:si>
  <x:si>
    <x:t xml:space="preserve">앱 식별</x:t>
  </x:si>
  <x:si>
    <x:t xml:space="preserve">iOS Bundle ID와 Android Application ID 확정</x:t>
  </x:si>
  <x:si>
    <x:t xml:space="preserve">S06</x:t>
  </x:si>
  <x:si>
    <x:t xml:space="preserve">패키징</x:t>
  </x:si>
  <x:si>
    <x:t xml:space="preserve">Capacitor 도입 및 iOS·Android 프로젝트 생성</x:t>
  </x:si>
  <x:si>
    <x:t xml:space="preserve">S07</x:t>
  </x:si>
  <x:si>
    <x:t xml:space="preserve">서명</x:t>
  </x:si>
  <x:si>
    <x:t xml:space="preserve">iOS 인증서·프로비저닝과 Android keystore 준비</x:t>
  </x:si>
  <x:si>
    <x:t xml:space="preserve">S08</x:t>
  </x:si>
  <x:si>
    <x:t xml:space="preserve">딥링크</x:t>
  </x:si>
  <x:si>
    <x:t xml:space="preserve">Universal Link·App Link와 OAuth 앱 복귀 구현</x:t>
  </x:si>
  <x:si>
    <x:t xml:space="preserve">S09</x:t>
  </x:si>
  <x:si>
    <x:t xml:space="preserve">네이티브 UX</x:t>
  </x:si>
  <x:si>
    <x:t xml:space="preserve">safe area·키보드·뒤로가기·앱 생명주기 대응</x:t>
  </x:si>
  <x:si>
    <x:t xml:space="preserve">S10</x:t>
  </x:si>
  <x:si>
    <x:t xml:space="preserve">앱 아이콘·스플래시·오프라인 오류 화면 적용</x:t>
  </x:si>
  <x:si>
    <x:t xml:space="preserve">S11</x:t>
  </x:si>
  <x:si>
    <x:t xml:space="preserve">네이티브 기능</x:t>
  </x:si>
  <x:si>
    <x:t xml:space="preserve">일정 알림·완료 햅틱 등 앱다운 기능 구현</x:t>
  </x:si>
  <x:si>
    <x:t xml:space="preserve">https://developer.apple.com/app-store/review/guidelines/</x:t>
  </x:si>
  <x:si>
    <x:t xml:space="preserve">S12</x:t>
  </x:si>
  <x:si>
    <x:t xml:space="preserve">Apple 로그인</x:t>
  </x:si>
  <x:si>
    <x:t xml:space="preserve">Sign in with Apple App ID·Services ID·Key 설정</x:t>
  </x:si>
  <x:si>
    <x:t xml:space="preserve">S13</x:t>
  </x:si>
  <x:si>
    <x:t xml:space="preserve">실제 Apple 로그인·이메일 숨기기·탈퇴 QA</x:t>
  </x:si>
  <x:si>
    <x:t xml:space="preserve">S14</x:t>
  </x:si>
  <x:si>
    <x:t xml:space="preserve">실기기 QA</x:t>
  </x:si>
  <x:si>
    <x:t xml:space="preserve">실물 iPhone과 Galaxy에서 전체 흐름 검증</x:t>
  </x:si>
  <x:si>
    <x:t xml:space="preserve">S15</x:t>
  </x:si>
  <x:si>
    <x:t xml:space="preserve">접근성</x:t>
  </x:si>
  <x:si>
    <x:t xml:space="preserve">VoiceOver·TalkBack·글자 확대 검증</x:t>
  </x:si>
  <x:si>
    <x:t xml:space="preserve">S16</x:t>
  </x:si>
  <x:si>
    <x:t xml:space="preserve">베타</x:t>
  </x:si>
  <x:si>
    <x:t xml:space="preserve">TestFlight와 Google Play 내부 테스트 빌드 배포</x:t>
  </x:si>
  <x:si>
    <x:t xml:space="preserve">S17</x:t>
  </x:si>
  <x:si>
    <x:t xml:space="preserve">해당 시 Google Play 12명·14일 비공개 테스트</x:t>
  </x:si>
  <x:si>
    <x:t xml:space="preserve">https://support.google.com/googleplay/android-developer/answer/14151465</x:t>
  </x:si>
  <x:si>
    <x:t xml:space="preserve">S18</x:t>
  </x:si>
  <x:si>
    <x:t xml:space="preserve">실기기·베타 치명적 및 높은 버그 0건</x:t>
  </x:si>
  <x:si>
    <x:t xml:space="preserve">S19</x:t>
  </x:si>
  <x:si>
    <x:t xml:space="preserve">심사</x:t>
  </x:si>
  <x:si>
    <x:t xml:space="preserve">심사용 계정·Review Notes·앱 접근 정보 준비</x:t>
  </x:si>
  <x:si>
    <x:t xml:space="preserve">S20</x:t>
  </x:si>
  <x:si>
    <x:t xml:space="preserve">메타데이터</x:t>
  </x:si>
  <x:si>
    <x:t xml:space="preserve">앱 이름·설명·카테고리·등급·지원 URL 작성</x:t>
  </x:si>
  <x:si>
    <x:t xml:space="preserve">S21</x:t>
  </x:si>
  <x:si>
    <x:t xml:space="preserve">App Store·Play 아이콘과 스크린샷 제작</x:t>
  </x:si>
  <x:si>
    <x:t xml:space="preserve">S22</x:t>
  </x:si>
  <x:si>
    <x:t xml:space="preserve">개인정보</x:t>
  </x:si>
  <x:si>
    <x:t xml:space="preserve">Apple Privacy Nutrition Label 작성</x:t>
  </x:si>
  <x:si>
    <x:t xml:space="preserve">https://developer.apple.com/help/app-store-connect/manage-app-information/manage-app-privacy/</x:t>
  </x:si>
  <x:si>
    <x:t xml:space="preserve">S23</x:t>
  </x:si>
  <x:si>
    <x:t xml:space="preserve">Google Play Data Safety와 삭제 URL 등록</x:t>
  </x:si>
  <x:si>
    <x:t xml:space="preserve">https://support.google.com/googleplay/android-developer/answer/10787469</x:t>
  </x:si>
  <x:si>
    <x:t xml:space="preserve">S24</x:t>
  </x:si>
  <x:si>
    <x:t xml:space="preserve">App Store·Google Play 심사 제출</x:t>
  </x:si>
  <x:si>
    <x:t xml:space="preserve">P01</x:t>
  </x:si>
  <x:si>
    <x:t xml:space="preserve">사업</x:t>
  </x:si>
  <x:si>
    <x:t xml:space="preserve">사업자등록과 통신판매업 신고 상태 확정</x:t>
  </x:si>
  <x:si>
    <x:t xml:space="preserve">P02</x:t>
  </x:si>
  <x:si>
    <x:t xml:space="preserve">Toss 빌링 계약·운영 MID 심사 완료</x:t>
  </x:si>
  <x:si>
    <x:t xml:space="preserve">P03</x:t>
  </x:si>
  <x:si>
    <x:t xml:space="preserve">사업자 표시·정기결제·청약철회·환불 문구 확정</x:t>
  </x:si>
  <x:si>
    <x:t xml:space="preserve">P04</x:t>
  </x:si>
  <x:si>
    <x:t xml:space="preserve">법정 보관 결제정보와 일반 회원정보 접근·삭제 분리</x:t>
  </x:si>
  <x:si>
    <x:t xml:space="preserve">P05</x:t>
  </x:si>
  <x:si>
    <x:t xml:space="preserve">웹 결제</x:t>
  </x:si>
  <x:si>
    <x:t xml:space="preserve">Toss sandbox 최초 결제·복구·해지·갱신 실패 QA</x:t>
  </x:si>
  <x:si>
    <x:t xml:space="preserve">P06</x:t>
  </x:si>
  <x:si>
    <x:t xml:space="preserve">iOS 결제</x:t>
  </x:si>
  <x:si>
    <x:t xml:space="preserve">StoreKit 2 구독과 구매 복원 구현</x:t>
  </x:si>
  <x:si>
    <x:t xml:space="preserve">P07</x:t>
  </x:si>
  <x:si>
    <x:t xml:space="preserve">Android 결제</x:t>
  </x:si>
  <x:si>
    <x:t xml:space="preserve">Google Play Billing 구독과 구매 복원 구현</x:t>
  </x:si>
  <x:si>
    <x:t xml:space="preserve">https://support.google.com/googleplay/android-developer/answer/10281818</x:t>
  </x:si>
  <x:si>
    <x:t xml:space="preserve">P08</x:t>
  </x:si>
  <x:si>
    <x:t xml:space="preserve">구독 서버</x:t>
  </x:si>
  <x:si>
    <x:t xml:space="preserve">웹·iOS·Android 구독 entitlement 통합</x:t>
  </x:si>
  <x:si>
    <x:t xml:space="preserve">P09</x:t>
  </x:si>
  <x:si>
    <x:t xml:space="preserve">갱신·해지·환불·차지백·보류 상태 처리</x:t>
  </x:si>
  <x:si>
    <x:t xml:space="preserve">P10</x:t>
  </x:si>
  <x:si>
    <x:t xml:space="preserve">탈퇴</x:t>
  </x:si>
  <x:si>
    <x:t xml:space="preserve">활성 구독 회원의 탈퇴·해지·데이터 삭제 QA</x:t>
  </x:si>
  <x:si>
    <x:t xml:space="preserve">P11</x:t>
  </x:si>
  <x:si>
    <x:t xml:space="preserve">모든 선행 조건 후 PAYMENTS_ENABLED=true 전환</x:t>
  </x:si>
  <x:si>
    <x:t xml:space="preserve">P12</x:t>
  </x:si>
  <x:si>
    <x:t xml:space="preserve">개인정보처리방침·이용약관 최종 검토</x:t>
  </x:si>
  <x:si>
    <x:t xml:space="preserve">B01</x:t>
  </x:si>
  <x:si>
    <x:t xml:space="preserve">P2</x:t>
  </x:si>
  <x:si>
    <x:t xml:space="preserve">Kakao 로그인 설정·검수·실계정 QA</x:t>
  </x:si>
  <x:si>
    <x:t xml:space="preserve">B02</x:t>
  </x:si>
  <x:si>
    <x:t xml:space="preserve">Naver 로그인 설정·검수·실계정 QA</x:t>
  </x:si>
  <x:si>
    <x:t xml:space="preserve">B03</x:t>
  </x:si>
  <x:si>
    <x:t xml:space="preserve">기능</x:t>
  </x:si>
  <x:si>
    <x:t xml:space="preserve">위젯·고급 푸시 알림</x:t>
  </x:si>
  <x:si>
    <x:t xml:space="preserve">B04</x:t>
  </x:si>
  <x:si>
    <x:t xml:space="preserve">성장</x:t>
  </x:si>
  <x:si>
    <x:t xml:space="preserve">추천인·쿠폰·고급 분석</x:t>
  </x:si>
  <x:si>
    <x:t xml:space="preserve">B05</x:t>
  </x:si>
  <x:si>
    <x:t xml:space="preserve">확장</x:t>
  </x:si>
  <x:si>
    <x:t xml:space="preserve">다국어·소셜 계정 연결</x:t>
  </x:si>
  <x:si>
    <x:t xml:space="preserve">On My Way 일일 출시 점검 기록</x:t>
  </x:si>
  <x:si>
    <x:t xml:space="preserve">하루에 한 줄씩 기록합니다. 모든 운영 항목이 정상이고 치명적·높은 버그가 0건이면 일일 판정이 GO로 계산됩니다.</x:t>
  </x:si>
  <x:si>
    <x:t xml:space="preserve">날짜</x:t>
  </x:si>
  <x:si>
    <x:t xml:space="preserve">홈페이지</x:t>
  </x:si>
  <x:si>
    <x:t xml:space="preserve">/api/health</x:t>
  </x:si>
  <x:si>
    <x:t xml:space="preserve">운영 배포</x:t>
  </x:si>
  <x:si>
    <x:t xml:space="preserve">Google 로그인</x:t>
  </x:si>
  <x:si>
    <x:t xml:space="preserve">AI 계획</x:t>
  </x:si>
  <x:si>
    <x:t xml:space="preserve">데이터 복원</x:t>
  </x:si>
  <x:si>
    <x:t xml:space="preserve">5xx 급증</x:t>
  </x:si>
  <x:si>
    <x:t xml:space="preserve">OAuth 오류</x:t>
  </x:si>
  <x:si>
    <x:t xml:space="preserve">결제 차단</x:t>
  </x:si>
  <x:si>
    <x:t xml:space="preserve">보안 이슈</x:t>
  </x:si>
  <x:si>
    <x:t xml:space="preserve">치명적 버그</x:t>
  </x:si>
  <x:si>
    <x:t xml:space="preserve">높은 버그</x:t>
  </x:si>
  <x:si>
    <x:t xml:space="preserve">오늘 완료</x:t>
  </x:si>
  <x:si>
    <x:t xml:space="preserve">내일 우선</x:t>
  </x:si>
  <x:si>
    <x:t xml:space="preserve">일일 판정</x:t>
  </x:si>
  <x:si>
    <x:t xml:space="preserve">HOLD 사유</x:t>
  </x:si>
  <x:si>
    <x:t xml:space="preserve">미점검</x:t>
  </x:si>
  <x:si>
    <x:t xml:space="preserve">유지</x:t>
  </x:si>
</x:sst>
</file>

<file path=xl/styles.xml><?xml version="1.0" encoding="utf-8"?>
<x:styleSheet xmlns:x="http://schemas.openxmlformats.org/spreadsheetml/2006/main">
  <x:numFmts count="3">
    <x:numFmt numFmtId="176" formatCode="yyyy\-mm\-dd"/>
    <x:numFmt numFmtId="200" formatCode="yyyy-mm-dd"/>
    <x:numFmt numFmtId="201" formatCode="#,##0"/>
  </x:numFmts>
  <x:fonts count="23">
    <x:font>
      <x:sz val="11"/>
      <x:name val="Carlito"/>
    </x:font>
    <x:font>
      <x:b/>
      <x:sz val="22"/>
      <x:color rgb="FFFFFFFF"/>
      <x:name val="Malgun Gothic"/>
    </x:font>
    <x:font>
      <x:i/>
      <x:sz val="11"/>
      <x:color rgb="FF6B7280"/>
      <x:name val="Malgun Gothic"/>
    </x:font>
    <x:font>
      <x:sz val="11"/>
      <x:name val="Malgun Gothic"/>
    </x:font>
    <x:font>
      <x:b/>
      <x:sz val="11"/>
      <x:color rgb="FF24324B"/>
      <x:name val="Malgun Gothic"/>
    </x:font>
    <x:font>
      <x:b/>
      <x:sz val="11"/>
      <x:color rgb="FF2F7D65"/>
      <x:name val="Malgun Gothic"/>
    </x:font>
    <x:font>
      <x:b/>
      <x:sz val="11"/>
      <x:color rgb="FFC94A4A"/>
      <x:name val="Malgun Gothic"/>
    </x:font>
    <x:font>
      <x:b/>
      <x:sz val="22"/>
      <x:color rgb="FF24324B"/>
      <x:name val="Malgun Gothic"/>
    </x:font>
    <x:font>
      <x:b/>
      <x:sz val="22"/>
      <x:color rgb="FF2F7D65"/>
      <x:name val="Malgun Gothic"/>
    </x:font>
    <x:font>
      <x:b/>
      <x:sz val="22"/>
      <x:color rgb="FFC94A4A"/>
      <x:name val="Malgun Gothic"/>
    </x:font>
    <x:font>
      <x:b/>
      <x:sz val="13"/>
      <x:color rgb="FFFFFFFF"/>
      <x:name val="Malgun Gothic"/>
    </x:font>
    <x:font>
      <x:sz val="11"/>
      <x:color rgb="FF24324B"/>
      <x:name val="Malgun Gothic"/>
    </x:font>
    <x:font>
      <x:b/>
      <x:sz val="11"/>
      <x:color rgb="FFFFFFFF"/>
      <x:name val="Malgun Gothic"/>
    </x:font>
    <x:font>
      <x:sz val="11"/>
      <x:color rgb="FF6B7280"/>
      <x:name val="Malgun Gothic"/>
    </x:font>
    <x:font>
      <x:b/>
      <x:sz val="20"/>
      <x:color rgb="FFFFFFFF"/>
      <x:name val="Malgun Gothic"/>
    </x:font>
    <x:font>
      <x:sz val="11"/>
      <x:name val="Carlito"/>
    </x:font>
    <x:font>
      <x:sz val="8"/>
      <x:name val="돋움"/>
    </x:font>
    <x:font>
      <x:b/>
      <x:sz val="11"/>
      <x:color rgb="FFFFFFFF"/>
      <x:name val="Carlito"/>
    </x:font>
    <x:font>
      <x:i/>
      <x:sz val="11"/>
      <x:color rgb="FF6B7280"/>
      <x:name val="Carlito"/>
    </x:font>
    <x:font>
      <x:b/>
      <x:sz val="11"/>
      <x:color rgb="FF24324B"/>
      <x:name val="Carlito"/>
    </x:font>
    <x:font>
      <x:sz val="11"/>
      <x:color rgb="FF374151"/>
      <x:name val="Carlito"/>
    </x:font>
    <x:font>
      <x:b/>
      <x:sz val="11"/>
      <x:color rgb="FFB42318"/>
      <x:name val="Carlito"/>
    </x:font>
    <x:font>
      <x:sz val="11"/>
      <x:color rgb="FF6B7280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24324B"/>
      </x:patternFill>
    </x:fill>
    <x:fill>
      <x:patternFill patternType="solid">
        <x:fgColor rgb="FFF7F8FA"/>
      </x:patternFill>
    </x:fill>
    <x:fill>
      <x:patternFill patternType="solid">
        <x:fgColor rgb="FFEAF2FB"/>
      </x:patternFill>
    </x:fill>
    <x:fill>
      <x:patternFill patternType="solid">
        <x:fgColor rgb="FFE8F5F0"/>
      </x:patternFill>
    </x:fill>
    <x:fill>
      <x:patternFill patternType="solid">
        <x:fgColor rgb="FFFFF8DF"/>
      </x:patternFill>
    </x:fill>
    <x:fill>
      <x:patternFill patternType="solid">
        <x:fgColor rgb="FFFFF0EC"/>
      </x:patternFill>
    </x:fill>
    <x:fill>
      <x:patternFill patternType="solid">
        <x:fgColor rgb="FF334866"/>
      </x:patternFill>
    </x:fill>
    <x:fill>
      <x:patternFill patternType="solid">
        <x:fgColor rgb="FFFFFFFF"/>
      </x:patternFill>
    </x:fill>
    <x:fill>
      <x:patternFill patternType="solid">
        <x:fgColor rgb="FF24324B"/>
      </x:patternFill>
    </x:fill>
    <x:fill>
      <x:patternFill patternType="solid">
        <x:fgColor rgb="FFF7F8FA"/>
      </x:patternFill>
    </x:fill>
    <x:fill>
      <x:patternFill patternType="solid">
        <x:fgColor rgb="FFDDECF8"/>
      </x:patternFill>
    </x:fill>
    <x:fill>
      <x:patternFill patternType="solid">
        <x:fgColor rgb="FFFFFFFF"/>
      </x:patternFill>
    </x:fill>
    <x:fill>
      <x:patternFill patternType="solid">
        <x:fgColor rgb="FFFFE7E2"/>
      </x:patternFill>
    </x:fill>
    <x:fill>
      <x:patternFill patternType="solid">
        <x:fgColor rgb="FFFFF4CE"/>
      </x:patternFill>
    </x:fill>
    <x:fill>
      <x:patternFill patternType="solid">
        <x:fgColor rgb="FFE8F5F0"/>
      </x:patternFill>
    </x:fill>
  </x:fills>
  <x:borders count="15">
    <x:border/>
    <x:border>
      <x:left style="thin">
        <x:color rgb="FFDCE3EA"/>
      </x:left>
      <x:top style="thin">
        <x:color rgb="FFDCE3EA"/>
      </x:top>
    </x:border>
    <x:border>
      <x:top style="thin">
        <x:color rgb="FFDCE3EA"/>
      </x:top>
    </x:border>
    <x:border>
      <x:right style="thin">
        <x:color rgb="FFDCE3EA"/>
      </x:right>
      <x:top style="thin">
        <x:color rgb="FFDCE3EA"/>
      </x:top>
    </x:border>
    <x:border>
      <x:left style="thin">
        <x:color rgb="FFDCE3EA"/>
      </x:left>
    </x:border>
    <x:border>
      <x:right style="thin">
        <x:color rgb="FFDCE3EA"/>
      </x:right>
    </x:border>
    <x:border>
      <x:left style="thin">
        <x:color rgb="FFDCE3EA"/>
      </x:left>
      <x:bottom style="thin">
        <x:color rgb="FFDCE3EA"/>
      </x:bottom>
    </x:border>
    <x:border>
      <x:bottom style="thin">
        <x:color rgb="FFDCE3EA"/>
      </x:bottom>
    </x:border>
    <x:border>
      <x:right style="thin">
        <x:color rgb="FFDCE3EA"/>
      </x:right>
      <x:bottom style="thin">
        <x:color rgb="FFDCE3EA"/>
      </x:bottom>
    </x:border>
    <x:border>
      <x:left style="thin">
        <x:color rgb="FFDCE3EA"/>
      </x:left>
      <x:right style="thin">
        <x:color rgb="FFDCE3EA"/>
      </x:right>
      <x:top style="thin">
        <x:color rgb="FFDCE3EA"/>
      </x:top>
    </x:border>
    <x:border>
      <x:left style="thin">
        <x:color rgb="FFDCE3EA"/>
      </x:left>
      <x:right style="thin">
        <x:color rgb="FFDCE3EA"/>
      </x:right>
    </x:border>
    <x:border>
      <x:left style="thin">
        <x:color rgb="FFDCE3EA"/>
      </x:left>
      <x:right style="thin">
        <x:color rgb="FFDCE3EA"/>
      </x:right>
      <x:bottom style="thin">
        <x:color rgb="FFDCE3EA"/>
      </x:bottom>
    </x:border>
    <x:border>
      <x:right style="thin">
        <x:color rgb="FFDCE3EA"/>
      </x:right>
      <x:top style="thin">
        <x:color rgb="FFDCE3EA"/>
      </x:top>
      <x:bottom style="thin">
        <x:color rgb="FFDCE3EA"/>
      </x:bottom>
    </x:border>
    <x:border>
      <x:left style="thin">
        <x:color rgb="FFDCE3EA"/>
      </x:left>
      <x:right style="thin">
        <x:color rgb="FFDCE3EA"/>
      </x:right>
      <x:top style="thin">
        <x:color rgb="FFDCE3EA"/>
      </x:top>
      <x:bottom style="thin">
        <x:color rgb="FFDCE3EA"/>
      </x:bottom>
    </x:border>
    <x:border>
      <x:left style="thin">
        <x:color rgb="FFDCE3EA"/>
      </x:left>
      <x:top style="thin">
        <x:color rgb="FFDCE3EA"/>
      </x:top>
      <x:bottom style="thin">
        <x:color rgb="FFDCE3EA"/>
      </x:bottom>
    </x:border>
  </x:borders>
  <x:cellStyleXfs count="2">
    <x:xf numFmtId="0" fontId="0" fillId="0" borderId="0"/>
    <x:xf numFmtId="0" fontId="15" fillId="0" borderId="0"/>
  </x:cellStyleXfs>
  <x:cellXfs count="285">
    <x:xf numFmtId="0" fontId="0" fillId="0" borderId="0" xfId="0"/>
    <x:xf numFmtId="0" fontId="3" fillId="0" borderId="0" xfId="1" applyFont="1"/>
    <x:xf numFmtId="0" fontId="12" fillId="2" borderId="1" xfId="1" applyFont="1" applyFill="1" applyBorder="1" applyAlignment="1">
      <x:alignment horizontal="center"/>
    </x:xf>
    <x:xf numFmtId="0" fontId="12" fillId="2" borderId="2" xfId="1" applyFont="1" applyFill="1" applyBorder="1" applyAlignment="1">
      <x:alignment horizontal="center"/>
    </x:xf>
    <x:xf numFmtId="0" fontId="12" fillId="2" borderId="3" xfId="1" applyFont="1" applyFill="1" applyBorder="1" applyAlignment="1">
      <x:alignment horizontal="center"/>
    </x:xf>
    <x:xf numFmtId="0" fontId="3" fillId="0" borderId="4" xfId="1" applyFont="1" applyBorder="1"/>
    <x:xf numFmtId="0" fontId="3" fillId="0" borderId="0" xfId="1" applyFont="1" applyAlignment="1">
      <x:alignment horizontal="right"/>
    </x:xf>
    <x:xf numFmtId="9" fontId="3" fillId="0" borderId="0" xfId="1" applyNumberFormat="1" applyFont="1" applyAlignment="1">
      <x:alignment horizontal="right"/>
    </x:xf>
    <x:xf numFmtId="0" fontId="3" fillId="0" borderId="5" xfId="1" applyFont="1" applyBorder="1"/>
    <x:xf numFmtId="0" fontId="3" fillId="0" borderId="6" xfId="1" applyFont="1" applyBorder="1"/>
    <x:xf numFmtId="0" fontId="3" fillId="0" borderId="7" xfId="1" applyFont="1" applyBorder="1" applyAlignment="1">
      <x:alignment horizontal="right"/>
    </x:xf>
    <x:xf numFmtId="9" fontId="3" fillId="0" borderId="7" xfId="1" applyNumberFormat="1" applyFont="1" applyBorder="1" applyAlignment="1">
      <x:alignment horizontal="right"/>
    </x:xf>
    <x:xf numFmtId="0" fontId="3" fillId="0" borderId="8" xfId="1" applyFont="1" applyBorder="1"/>
    <x:xf numFmtId="0" fontId="3" fillId="0" borderId="5" xfId="1" applyFont="1" applyBorder="1" applyAlignment="1">
      <x:alignment horizontal="right"/>
    </x:xf>
    <x:xf numFmtId="0" fontId="3" fillId="0" borderId="8" xfId="1" applyFont="1" applyBorder="1" applyAlignment="1">
      <x:alignment horizontal="right"/>
    </x:xf>
    <x:xf numFmtId="0" fontId="3" fillId="0" borderId="0" xfId="1" applyFont="1" applyAlignment="1">
      <x:alignment wrapText="1"/>
    </x:xf>
    <x:xf numFmtId="0" fontId="3" fillId="0" borderId="5" xfId="1" applyFont="1" applyBorder="1" applyAlignment="1">
      <x:alignment wrapText="1"/>
    </x:xf>
    <x:xf numFmtId="0" fontId="3" fillId="0" borderId="7" xfId="1" applyFont="1" applyBorder="1" applyAlignment="1">
      <x:alignment wrapText="1"/>
    </x:xf>
    <x:xf numFmtId="0" fontId="3" fillId="0" borderId="8" xfId="1" applyFont="1" applyBorder="1" applyAlignment="1">
      <x:alignment wrapText="1"/>
    </x:xf>
    <x:xf numFmtId="0" fontId="12" fillId="8" borderId="1" xfId="1" applyFont="1" applyFill="1" applyBorder="1"/>
    <x:xf numFmtId="0" fontId="12" fillId="8" borderId="3" xfId="1" applyFont="1" applyFill="1" applyBorder="1"/>
    <x:xf numFmtId="9" fontId="3" fillId="0" borderId="5" xfId="1" applyNumberFormat="1" applyFont="1" applyBorder="1"/>
    <x:xf numFmtId="9" fontId="3" fillId="0" borderId="8" xfId="1" applyNumberFormat="1" applyFont="1" applyBorder="1"/>
    <x:xf numFmtId="0" fontId="12" fillId="2" borderId="1" xfId="1" applyFont="1" applyFill="1" applyBorder="1" applyAlignment="1">
      <x:alignment horizontal="center" vertical="center"/>
    </x:xf>
    <x:xf numFmtId="0" fontId="12" fillId="2" borderId="2" xfId="1" applyFont="1" applyFill="1" applyBorder="1" applyAlignment="1">
      <x:alignment horizontal="center" vertical="center"/>
    </x:xf>
    <x:xf numFmtId="0" fontId="12" fillId="2" borderId="3" xfId="1" applyFont="1" applyFill="1" applyBorder="1" applyAlignment="1">
      <x:alignment horizontal="center" vertical="center"/>
    </x:xf>
    <x:xf numFmtId="0" fontId="3" fillId="0" borderId="4" xfId="1" applyFont="1" applyBorder="1" applyAlignment="1">
      <x:alignment horizontal="center" vertical="center"/>
    </x:xf>
    <x:xf numFmtId="0" fontId="3" fillId="0" borderId="0" xfId="1" applyFont="1" applyAlignment="1">
      <x:alignment horizontal="center" vertical="center"/>
    </x:xf>
    <x:xf numFmtId="0" fontId="3" fillId="0" borderId="0" xfId="1" applyFont="1" applyAlignment="1">
      <x:alignment vertical="center" wrapText="1"/>
    </x:xf>
    <x:xf numFmtId="0" fontId="3" fillId="0" borderId="0" xfId="1" applyFont="1" applyAlignment="1">
      <x:alignment horizontal="center" vertical="center" wrapText="1"/>
    </x:xf>
    <x:xf numFmtId="176" fontId="3" fillId="0" borderId="0" xfId="1" applyNumberFormat="1" applyFont="1" applyAlignment="1">
      <x:alignment horizontal="center" vertical="center" wrapText="1"/>
    </x:xf>
    <x:xf numFmtId="9" fontId="3" fillId="0" borderId="0" xfId="1" applyNumberFormat="1" applyFont="1" applyAlignment="1">
      <x:alignment horizontal="center" vertical="center"/>
    </x:xf>
    <x:xf numFmtId="176" fontId="3" fillId="0" borderId="5" xfId="1" applyNumberFormat="1" applyFont="1" applyBorder="1" applyAlignment="1">
      <x:alignment horizontal="center" vertical="center"/>
    </x:xf>
    <x:xf numFmtId="0" fontId="3" fillId="0" borderId="6" xfId="1" applyFont="1" applyBorder="1" applyAlignment="1">
      <x:alignment horizontal="center" vertical="center"/>
    </x:xf>
    <x:xf numFmtId="0" fontId="3" fillId="0" borderId="7" xfId="1" applyFont="1" applyBorder="1" applyAlignment="1">
      <x:alignment horizontal="center" vertical="center"/>
    </x:xf>
    <x:xf numFmtId="0" fontId="3" fillId="0" borderId="7" xfId="1" applyFont="1" applyBorder="1" applyAlignment="1">
      <x:alignment vertical="center" wrapText="1"/>
    </x:xf>
    <x:xf numFmtId="0" fontId="3" fillId="0" borderId="7" xfId="1" applyFont="1" applyBorder="1" applyAlignment="1">
      <x:alignment horizontal="center" vertical="center" wrapText="1"/>
    </x:xf>
    <x:xf numFmtId="176" fontId="3" fillId="0" borderId="7" xfId="1" applyNumberFormat="1" applyFont="1" applyBorder="1" applyAlignment="1">
      <x:alignment horizontal="center" vertical="center" wrapText="1"/>
    </x:xf>
    <x:xf numFmtId="9" fontId="3" fillId="0" borderId="7" xfId="1" applyNumberFormat="1" applyFont="1" applyBorder="1" applyAlignment="1">
      <x:alignment horizontal="center" vertical="center"/>
    </x:xf>
    <x:xf numFmtId="176" fontId="3" fillId="0" borderId="8" xfId="1" applyNumberFormat="1" applyFont="1" applyBorder="1" applyAlignment="1">
      <x:alignment horizontal="center" vertical="center"/>
    </x:xf>
    <x:xf numFmtId="0" fontId="12" fillId="2" borderId="1" xfId="1" applyFont="1" applyFill="1" applyBorder="1" applyAlignment="1">
      <x:alignment horizontal="center" vertical="center" wrapText="1"/>
    </x:xf>
    <x:xf numFmtId="0" fontId="12" fillId="2" borderId="2" xfId="1" applyFont="1" applyFill="1" applyBorder="1" applyAlignment="1">
      <x:alignment horizontal="center" vertical="center" wrapText="1"/>
    </x:xf>
    <x:xf numFmtId="0" fontId="12" fillId="2" borderId="3" xfId="1" applyFont="1" applyFill="1" applyBorder="1" applyAlignment="1">
      <x:alignment horizontal="center" vertical="center" wrapText="1"/>
    </x:xf>
    <x:xf numFmtId="176" fontId="3" fillId="0" borderId="4" xfId="1" applyNumberFormat="1" applyFont="1" applyBorder="1" applyAlignment="1">
      <x:alignment horizontal="center"/>
    </x:xf>
    <x:xf numFmtId="0" fontId="3" fillId="0" borderId="0" xfId="1" applyFont="1" applyAlignment="1">
      <x:alignment horizontal="center"/>
    </x:xf>
    <x:xf numFmtId="176" fontId="3" fillId="0" borderId="6" xfId="1" applyNumberFormat="1" applyFont="1" applyBorder="1" applyAlignment="1">
      <x:alignment horizontal="center"/>
    </x:xf>
    <x:xf numFmtId="0" fontId="3" fillId="0" borderId="7" xfId="1" applyFont="1" applyBorder="1" applyAlignment="1">
      <x:alignment horizontal="center"/>
    </x:xf>
    <x:xf numFmtId="0" fontId="10" fillId="8" borderId="0" xfId="1" applyFont="1" applyFill="1" applyAlignment="1">
      <x:alignment vertical="center"/>
    </x:xf>
    <x:xf numFmtId="0" fontId="11" fillId="9" borderId="1" xfId="1" applyFont="1" applyFill="1" applyBorder="1" applyAlignment="1">
      <x:alignment vertical="center" wrapText="1"/>
    </x:xf>
    <x:xf numFmtId="0" fontId="11" fillId="9" borderId="2" xfId="1" applyFont="1" applyFill="1" applyBorder="1" applyAlignment="1">
      <x:alignment vertical="center" wrapText="1"/>
    </x:xf>
    <x:xf numFmtId="0" fontId="11" fillId="9" borderId="3" xfId="1" applyFont="1" applyFill="1" applyBorder="1" applyAlignment="1">
      <x:alignment vertical="center" wrapText="1"/>
    </x:xf>
    <x:xf numFmtId="0" fontId="11" fillId="9" borderId="4" xfId="1" applyFont="1" applyFill="1" applyBorder="1" applyAlignment="1">
      <x:alignment vertical="center" wrapText="1"/>
    </x:xf>
    <x:xf numFmtId="0" fontId="11" fillId="9" borderId="0" xfId="1" applyFont="1" applyFill="1" applyAlignment="1">
      <x:alignment vertical="center" wrapText="1"/>
    </x:xf>
    <x:xf numFmtId="0" fontId="11" fillId="9" borderId="5" xfId="1" applyFont="1" applyFill="1" applyBorder="1" applyAlignment="1">
      <x:alignment vertical="center" wrapText="1"/>
    </x:xf>
    <x:xf numFmtId="0" fontId="11" fillId="9" borderId="6" xfId="1" applyFont="1" applyFill="1" applyBorder="1" applyAlignment="1">
      <x:alignment vertical="center" wrapText="1"/>
    </x:xf>
    <x:xf numFmtId="0" fontId="11" fillId="9" borderId="7" xfId="1" applyFont="1" applyFill="1" applyBorder="1" applyAlignment="1">
      <x:alignment vertical="center" wrapText="1"/>
    </x:xf>
    <x:xf numFmtId="0" fontId="11" fillId="9" borderId="8" xfId="1" applyFont="1" applyFill="1" applyBorder="1" applyAlignment="1">
      <x:alignment vertical="center" wrapText="1"/>
    </x:xf>
    <x:xf numFmtId="0" fontId="13" fillId="3" borderId="1" xfId="1" applyFont="1" applyFill="1" applyBorder="1" applyAlignment="1">
      <x:alignment vertical="center" wrapText="1"/>
    </x:xf>
    <x:xf numFmtId="0" fontId="13" fillId="3" borderId="2" xfId="1" applyFont="1" applyFill="1" applyBorder="1" applyAlignment="1">
      <x:alignment vertical="center" wrapText="1"/>
    </x:xf>
    <x:xf numFmtId="0" fontId="13" fillId="3" borderId="3" xfId="1" applyFont="1" applyFill="1" applyBorder="1" applyAlignment="1">
      <x:alignment vertical="center" wrapText="1"/>
    </x:xf>
    <x:xf numFmtId="0" fontId="13" fillId="3" borderId="4" xfId="1" applyFont="1" applyFill="1" applyBorder="1" applyAlignment="1">
      <x:alignment vertical="center" wrapText="1"/>
    </x:xf>
    <x:xf numFmtId="0" fontId="13" fillId="3" borderId="0" xfId="1" applyFont="1" applyFill="1" applyAlignment="1">
      <x:alignment vertical="center" wrapText="1"/>
    </x:xf>
    <x:xf numFmtId="0" fontId="13" fillId="3" borderId="5" xfId="1" applyFont="1" applyFill="1" applyBorder="1" applyAlignment="1">
      <x:alignment vertical="center" wrapText="1"/>
    </x:xf>
    <x:xf numFmtId="0" fontId="13" fillId="3" borderId="6" xfId="1" applyFont="1" applyFill="1" applyBorder="1" applyAlignment="1">
      <x:alignment vertical="center" wrapText="1"/>
    </x:xf>
    <x:xf numFmtId="0" fontId="13" fillId="3" borderId="7" xfId="1" applyFont="1" applyFill="1" applyBorder="1" applyAlignment="1">
      <x:alignment vertical="center" wrapText="1"/>
    </x:xf>
    <x:xf numFmtId="0" fontId="13" fillId="3" borderId="8" xfId="1" applyFont="1" applyFill="1" applyBorder="1" applyAlignment="1">
      <x:alignment vertical="center" wrapText="1"/>
    </x:xf>
    <x:xf numFmtId="0" fontId="1" fillId="2" borderId="0" xfId="1" applyFont="1" applyFill="1" applyAlignment="1">
      <x:alignment horizontal="left" vertical="center"/>
    </x:xf>
    <x:xf numFmtId="0" fontId="2" fillId="3" borderId="0" xfId="1" applyFont="1" applyFill="1" applyAlignment="1">
      <x:alignment vertical="center"/>
    </x:xf>
    <x:xf numFmtId="0" fontId="4" fillId="4" borderId="1" xfId="1" applyFont="1" applyFill="1" applyBorder="1" applyAlignment="1">
      <x:alignment horizontal="center" vertical="center"/>
    </x:xf>
    <x:xf numFmtId="0" fontId="4" fillId="4" borderId="2" xfId="1" applyFont="1" applyFill="1" applyBorder="1" applyAlignment="1">
      <x:alignment horizontal="center" vertical="center"/>
    </x:xf>
    <x:xf numFmtId="0" fontId="4" fillId="4" borderId="3" xfId="1" applyFont="1" applyFill="1" applyBorder="1" applyAlignment="1">
      <x:alignment horizontal="center" vertical="center"/>
    </x:xf>
    <x:xf numFmtId="9" fontId="7" fillId="4" borderId="4" xfId="1" applyNumberFormat="1" applyFont="1" applyFill="1" applyBorder="1" applyAlignment="1">
      <x:alignment horizontal="center" vertical="center"/>
    </x:xf>
    <x:xf numFmtId="9" fontId="7" fillId="4" borderId="0" xfId="1" applyNumberFormat="1" applyFont="1" applyFill="1" applyAlignment="1">
      <x:alignment horizontal="center" vertical="center"/>
    </x:xf>
    <x:xf numFmtId="9" fontId="7" fillId="4" borderId="5" xfId="1" applyNumberFormat="1" applyFont="1" applyFill="1" applyBorder="1" applyAlignment="1">
      <x:alignment horizontal="center" vertical="center"/>
    </x:xf>
    <x:xf numFmtId="9" fontId="7" fillId="4" borderId="6" xfId="1" applyNumberFormat="1" applyFont="1" applyFill="1" applyBorder="1" applyAlignment="1">
      <x:alignment horizontal="center" vertical="center"/>
    </x:xf>
    <x:xf numFmtId="9" fontId="7" fillId="4" borderId="7" xfId="1" applyNumberFormat="1" applyFont="1" applyFill="1" applyBorder="1" applyAlignment="1">
      <x:alignment horizontal="center" vertical="center"/>
    </x:xf>
    <x:xf numFmtId="9" fontId="7" fillId="4" borderId="8" xfId="1" applyNumberFormat="1" applyFont="1" applyFill="1" applyBorder="1" applyAlignment="1">
      <x:alignment horizontal="center" vertical="center"/>
    </x:xf>
    <x:xf numFmtId="0" fontId="5" fillId="5" borderId="1" xfId="1" applyFont="1" applyFill="1" applyBorder="1" applyAlignment="1">
      <x:alignment horizontal="center" vertical="center"/>
    </x:xf>
    <x:xf numFmtId="0" fontId="5" fillId="5" borderId="2" xfId="1" applyFont="1" applyFill="1" applyBorder="1" applyAlignment="1">
      <x:alignment horizontal="center" vertical="center"/>
    </x:xf>
    <x:xf numFmtId="0" fontId="5" fillId="5" borderId="3" xfId="1" applyFont="1" applyFill="1" applyBorder="1" applyAlignment="1">
      <x:alignment horizontal="center" vertical="center"/>
    </x:xf>
    <x:xf numFmtId="0" fontId="8" fillId="5" borderId="4" xfId="1" applyFont="1" applyFill="1" applyBorder="1" applyAlignment="1">
      <x:alignment horizontal="center" vertical="center"/>
    </x:xf>
    <x:xf numFmtId="0" fontId="8" fillId="5" borderId="0" xfId="1" applyFont="1" applyFill="1" applyAlignment="1">
      <x:alignment horizontal="center" vertical="center"/>
    </x:xf>
    <x:xf numFmtId="0" fontId="8" fillId="5" borderId="5" xfId="1" applyFont="1" applyFill="1" applyBorder="1" applyAlignment="1">
      <x:alignment horizontal="center" vertical="center"/>
    </x:xf>
    <x:xf numFmtId="0" fontId="8" fillId="5" borderId="6" xfId="1" applyFont="1" applyFill="1" applyBorder="1" applyAlignment="1">
      <x:alignment horizontal="center" vertical="center"/>
    </x:xf>
    <x:xf numFmtId="0" fontId="8" fillId="5" borderId="7" xfId="1" applyFont="1" applyFill="1" applyBorder="1" applyAlignment="1">
      <x:alignment horizontal="center" vertical="center"/>
    </x:xf>
    <x:xf numFmtId="0" fontId="8" fillId="5" borderId="8" xfId="1" applyFont="1" applyFill="1" applyBorder="1" applyAlignment="1">
      <x:alignment horizontal="center" vertical="center"/>
    </x:xf>
    <x:xf numFmtId="0" fontId="4" fillId="6" borderId="1" xfId="1" applyFont="1" applyFill="1" applyBorder="1" applyAlignment="1">
      <x:alignment horizontal="center" vertical="center"/>
    </x:xf>
    <x:xf numFmtId="0" fontId="4" fillId="6" borderId="2" xfId="1" applyFont="1" applyFill="1" applyBorder="1" applyAlignment="1">
      <x:alignment horizontal="center" vertical="center"/>
    </x:xf>
    <x:xf numFmtId="0" fontId="4" fillId="6" borderId="3" xfId="1" applyFont="1" applyFill="1" applyBorder="1" applyAlignment="1">
      <x:alignment horizontal="center" vertical="center"/>
    </x:xf>
    <x:xf numFmtId="0" fontId="7" fillId="6" borderId="4" xfId="1" applyFont="1" applyFill="1" applyBorder="1" applyAlignment="1">
      <x:alignment horizontal="center" vertical="center"/>
    </x:xf>
    <x:xf numFmtId="0" fontId="7" fillId="6" borderId="0" xfId="1" applyFont="1" applyFill="1" applyAlignment="1">
      <x:alignment horizontal="center" vertical="center"/>
    </x:xf>
    <x:xf numFmtId="0" fontId="7" fillId="6" borderId="5" xfId="1" applyFont="1" applyFill="1" applyBorder="1" applyAlignment="1">
      <x:alignment horizontal="center" vertical="center"/>
    </x:xf>
    <x:xf numFmtId="0" fontId="7" fillId="6" borderId="6" xfId="1" applyFont="1" applyFill="1" applyBorder="1" applyAlignment="1">
      <x:alignment horizontal="center" vertical="center"/>
    </x:xf>
    <x:xf numFmtId="0" fontId="7" fillId="6" borderId="7" xfId="1" applyFont="1" applyFill="1" applyBorder="1" applyAlignment="1">
      <x:alignment horizontal="center" vertical="center"/>
    </x:xf>
    <x:xf numFmtId="0" fontId="7" fillId="6" borderId="8" xfId="1" applyFont="1" applyFill="1" applyBorder="1" applyAlignment="1">
      <x:alignment horizontal="center" vertical="center"/>
    </x:xf>
    <x:xf numFmtId="0" fontId="6" fillId="7" borderId="1" xfId="1" applyFont="1" applyFill="1" applyBorder="1" applyAlignment="1">
      <x:alignment horizontal="center" vertical="center"/>
    </x:xf>
    <x:xf numFmtId="0" fontId="6" fillId="7" borderId="2" xfId="1" applyFont="1" applyFill="1" applyBorder="1" applyAlignment="1">
      <x:alignment horizontal="center" vertical="center"/>
    </x:xf>
    <x:xf numFmtId="0" fontId="6" fillId="7" borderId="3" xfId="1" applyFont="1" applyFill="1" applyBorder="1" applyAlignment="1">
      <x:alignment horizontal="center" vertical="center"/>
    </x:xf>
    <x:xf numFmtId="0" fontId="9" fillId="7" borderId="4" xfId="1" applyFont="1" applyFill="1" applyBorder="1" applyAlignment="1">
      <x:alignment horizontal="center" vertical="center"/>
    </x:xf>
    <x:xf numFmtId="0" fontId="9" fillId="7" borderId="0" xfId="1" applyFont="1" applyFill="1" applyAlignment="1">
      <x:alignment horizontal="center" vertical="center"/>
    </x:xf>
    <x:xf numFmtId="0" fontId="9" fillId="7" borderId="5" xfId="1" applyFont="1" applyFill="1" applyBorder="1" applyAlignment="1">
      <x:alignment horizontal="center" vertical="center"/>
    </x:xf>
    <x:xf numFmtId="0" fontId="9" fillId="7" borderId="6" xfId="1" applyFont="1" applyFill="1" applyBorder="1" applyAlignment="1">
      <x:alignment horizontal="center" vertical="center"/>
    </x:xf>
    <x:xf numFmtId="0" fontId="9" fillId="7" borderId="7" xfId="1" applyFont="1" applyFill="1" applyBorder="1" applyAlignment="1">
      <x:alignment horizontal="center" vertical="center"/>
    </x:xf>
    <x:xf numFmtId="0" fontId="9" fillId="7" borderId="8" xfId="1" applyFont="1" applyFill="1" applyBorder="1" applyAlignment="1">
      <x:alignment horizontal="center" vertical="center"/>
    </x:xf>
    <x:xf numFmtId="0" fontId="14" fillId="2" borderId="0" xfId="1" applyFont="1" applyFill="1" applyAlignment="1">
      <x:alignment vertical="center"/>
    </x:xf>
    <x:xf numFmtId="20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17" fillId="10" borderId="0" xfId="0" applyNumberFormat="1" applyFont="1" applyFill="1" applyBorder="1"/>
    <x:xf numFmtId="0" fontId="17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8" fillId="11" borderId="0" xfId="0" applyNumberFormat="1" applyFont="1" applyFill="1" applyBorder="1"/>
    <x:xf numFmtId="0" fontId="18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9" fillId="12" borderId="0" xfId="0" applyNumberFormat="1" applyFont="1" applyFill="1" applyBorder="1"/>
    <x:xf numFmtId="0" fontId="19" fillId="12" borderId="9" xfId="0" applyNumberFormat="1" applyFont="1" applyFill="1" applyBorder="1"/>
    <x:xf numFmtId="0" fontId="19" fillId="12" borderId="10" xfId="0" applyNumberFormat="1" applyFont="1" applyFill="1" applyBorder="1"/>
    <x:xf numFmtId="0" fontId="19" fillId="12" borderId="11" xfId="0" applyNumberFormat="1" applyFont="1" applyFill="1" applyBorder="1"/>
    <x:xf numFmtId="0" fontId="19" fillId="12" borderId="9" xfId="0" applyNumberFormat="1" applyFont="1" applyFill="1" applyBorder="1" applyAlignment="1">
      <x:alignment vertical="center"/>
    </x:xf>
    <x:xf numFmtId="0" fontId="19" fillId="12" borderId="10" xfId="0" applyNumberFormat="1" applyFont="1" applyFill="1" applyBorder="1" applyAlignment="1">
      <x:alignment vertical="center"/>
    </x:xf>
    <x:xf numFmtId="0" fontId="19" fillId="12" borderId="11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20" fillId="13" borderId="0" xfId="0" applyNumberFormat="1" applyFont="1" applyFill="1" applyBorder="1"/>
    <x:xf numFmtId="0" fontId="20" fillId="13" borderId="1" xfId="0" applyNumberFormat="1" applyFont="1" applyFill="1" applyBorder="1"/>
    <x:xf numFmtId="0" fontId="20" fillId="13" borderId="2" xfId="0" applyNumberFormat="1" applyFont="1" applyFill="1" applyBorder="1"/>
    <x:xf numFmtId="0" fontId="20" fillId="13" borderId="3" xfId="0" applyNumberFormat="1" applyFont="1" applyFill="1" applyBorder="1"/>
    <x:xf numFmtId="0" fontId="20" fillId="13" borderId="4" xfId="0" applyNumberFormat="1" applyFont="1" applyFill="1" applyBorder="1"/>
    <x:xf numFmtId="0" fontId="20" fillId="13" borderId="5" xfId="0" applyNumberFormat="1" applyFont="1" applyFill="1" applyBorder="1"/>
    <x:xf numFmtId="0" fontId="20" fillId="13" borderId="6" xfId="0" applyNumberFormat="1" applyFont="1" applyFill="1" applyBorder="1"/>
    <x:xf numFmtId="0" fontId="20" fillId="13" borderId="7" xfId="0" applyNumberFormat="1" applyFont="1" applyFill="1" applyBorder="1"/>
    <x:xf numFmtId="0" fontId="20" fillId="13" borderId="8" xfId="0" applyNumberFormat="1" applyFont="1" applyFill="1" applyBorder="1"/>
    <x:xf numFmtId="0" fontId="20" fillId="13" borderId="1" xfId="0" applyNumberFormat="1" applyFont="1" applyFill="1" applyBorder="1" applyAlignment="1">
      <x:alignment wrapText="1"/>
    </x:xf>
    <x:xf numFmtId="0" fontId="20" fillId="13" borderId="2" xfId="0" applyNumberFormat="1" applyFont="1" applyFill="1" applyBorder="1" applyAlignment="1">
      <x:alignment wrapText="1"/>
    </x:xf>
    <x:xf numFmtId="0" fontId="20" fillId="13" borderId="3" xfId="0" applyNumberFormat="1" applyFont="1" applyFill="1" applyBorder="1" applyAlignment="1">
      <x:alignment wrapText="1"/>
    </x:xf>
    <x:xf numFmtId="0" fontId="20" fillId="13" borderId="4" xfId="0" applyNumberFormat="1" applyFont="1" applyFill="1" applyBorder="1" applyAlignment="1">
      <x:alignment wrapText="1"/>
    </x:xf>
    <x:xf numFmtId="0" fontId="20" fillId="13" borderId="0" xfId="0" applyNumberFormat="1" applyFont="1" applyFill="1" applyBorder="1" applyAlignment="1">
      <x:alignment wrapText="1"/>
    </x:xf>
    <x:xf numFmtId="0" fontId="20" fillId="13" borderId="5" xfId="0" applyNumberFormat="1" applyFont="1" applyFill="1" applyBorder="1" applyAlignment="1">
      <x:alignment wrapText="1"/>
    </x:xf>
    <x:xf numFmtId="0" fontId="20" fillId="13" borderId="6" xfId="0" applyNumberFormat="1" applyFont="1" applyFill="1" applyBorder="1" applyAlignment="1">
      <x:alignment wrapText="1"/>
    </x:xf>
    <x:xf numFmtId="0" fontId="20" fillId="13" borderId="7" xfId="0" applyNumberFormat="1" applyFont="1" applyFill="1" applyBorder="1" applyAlignment="1">
      <x:alignment wrapText="1"/>
    </x:xf>
    <x:xf numFmtId="0" fontId="20" fillId="13" borderId="8" xfId="0" applyNumberFormat="1" applyFont="1" applyFill="1" applyBorder="1" applyAlignment="1">
      <x:alignment wrapText="1"/>
    </x:xf>
    <x:xf numFmtId="0" fontId="20" fillId="13" borderId="1" xfId="0" applyNumberFormat="1" applyFont="1" applyFill="1" applyBorder="1" applyAlignment="1">
      <x:alignment vertical="center" wrapText="1"/>
    </x:xf>
    <x:xf numFmtId="0" fontId="20" fillId="13" borderId="2" xfId="0" applyNumberFormat="1" applyFont="1" applyFill="1" applyBorder="1" applyAlignment="1">
      <x:alignment vertical="center" wrapText="1"/>
    </x:xf>
    <x:xf numFmtId="0" fontId="20" fillId="13" borderId="3" xfId="0" applyNumberFormat="1" applyFont="1" applyFill="1" applyBorder="1" applyAlignment="1">
      <x:alignment vertical="center" wrapText="1"/>
    </x:xf>
    <x:xf numFmtId="0" fontId="20" fillId="13" borderId="4" xfId="0" applyNumberFormat="1" applyFont="1" applyFill="1" applyBorder="1" applyAlignment="1">
      <x:alignment vertical="center" wrapText="1"/>
    </x:xf>
    <x:xf numFmtId="0" fontId="20" fillId="13" borderId="0" xfId="0" applyNumberFormat="1" applyFont="1" applyFill="1" applyBorder="1" applyAlignment="1">
      <x:alignment vertical="center" wrapText="1"/>
    </x:xf>
    <x:xf numFmtId="0" fontId="20" fillId="13" borderId="5" xfId="0" applyNumberFormat="1" applyFont="1" applyFill="1" applyBorder="1" applyAlignment="1">
      <x:alignment vertical="center" wrapText="1"/>
    </x:xf>
    <x:xf numFmtId="0" fontId="20" fillId="13" borderId="6" xfId="0" applyNumberFormat="1" applyFont="1" applyFill="1" applyBorder="1" applyAlignment="1">
      <x:alignment vertical="center" wrapText="1"/>
    </x:xf>
    <x:xf numFmtId="0" fontId="20" fillId="13" borderId="7" xfId="0" applyNumberFormat="1" applyFont="1" applyFill="1" applyBorder="1" applyAlignment="1">
      <x:alignment vertical="center" wrapText="1"/>
    </x:xf>
    <x:xf numFmtId="0" fontId="20" fillId="13" borderId="8" xfId="0" applyNumberFormat="1" applyFont="1" applyFill="1" applyBorder="1" applyAlignment="1">
      <x:alignment vertical="center" wrapText="1"/>
    </x:xf>
    <x:xf numFmtId="0" fontId="20" fillId="14" borderId="4" xfId="0" applyNumberFormat="1" applyFont="1" applyFill="1" applyBorder="1" applyAlignment="1">
      <x:alignment vertical="center" wrapText="1"/>
    </x:xf>
    <x:xf numFmtId="0" fontId="20" fillId="14" borderId="0" xfId="0" applyNumberFormat="1" applyFont="1" applyFill="1" applyBorder="1" applyAlignment="1">
      <x:alignment vertical="center" wrapText="1"/>
    </x:xf>
    <x:xf numFmtId="0" fontId="20" fillId="14" borderId="5" xfId="0" applyNumberFormat="1" applyFont="1" applyFill="1" applyBorder="1" applyAlignment="1">
      <x:alignment vertical="center" wrapText="1"/>
    </x:xf>
    <x:xf numFmtId="0" fontId="20" fillId="15" borderId="6" xfId="0" applyNumberFormat="1" applyFont="1" applyFill="1" applyBorder="1" applyAlignment="1">
      <x:alignment vertical="center" wrapText="1"/>
    </x:xf>
    <x:xf numFmtId="0" fontId="20" fillId="15" borderId="7" xfId="0" applyNumberFormat="1" applyFont="1" applyFill="1" applyBorder="1" applyAlignment="1">
      <x:alignment vertical="center" wrapText="1"/>
    </x:xf>
    <x:xf numFmtId="0" fontId="20" fillId="15" borderId="8" xfId="0" applyNumberFormat="1" applyFont="1" applyFill="1" applyBorder="1" applyAlignment="1">
      <x:alignment vertical="center" wrapText="1"/>
    </x:xf>
    <x:xf numFmtId="0" fontId="0" fillId="12" borderId="8" xfId="0" applyNumberFormat="1" applyFont="1" applyFill="1" applyBorder="1"/>
    <x:xf numFmtId="0" fontId="0" fillId="12" borderId="11" xfId="0" applyNumberFormat="1" applyFont="1" applyFill="1" applyBorder="1"/>
    <x:xf numFmtId="0" fontId="0" fillId="12" borderId="6" xfId="0" applyNumberFormat="1" applyFont="1" applyFill="1" applyBorder="1"/>
    <x:xf numFmtId="0" fontId="0" fillId="12" borderId="12" xfId="0" applyNumberFormat="1" applyFont="1" applyFill="1" applyBorder="1"/>
    <x:xf numFmtId="0" fontId="0" fillId="12" borderId="13" xfId="0" applyNumberFormat="1" applyFont="1" applyFill="1" applyBorder="1"/>
    <x:xf numFmtId="0" fontId="0" fillId="12" borderId="14" xfId="0" applyNumberFormat="1" applyFont="1" applyFill="1" applyBorder="1"/>
    <x:xf numFmtId="0" fontId="0" fillId="12" borderId="3" xfId="0" applyNumberFormat="1" applyFont="1" applyFill="1" applyBorder="1"/>
    <x:xf numFmtId="0" fontId="0" fillId="12" borderId="9" xfId="0" applyNumberFormat="1" applyFont="1" applyFill="1" applyBorder="1"/>
    <x:xf numFmtId="0" fontId="0" fillId="12" borderId="1" xfId="0" applyNumberFormat="1" applyFont="1" applyFill="1" applyBorder="1"/>
    <x:xf numFmtId="0" fontId="0" fillId="12" borderId="8" xfId="0" applyNumberFormat="1" applyFont="1" applyFill="1" applyBorder="1" applyAlignment="1">
      <x:alignment vertical="center"/>
    </x:xf>
    <x:xf numFmtId="0" fontId="0" fillId="12" borderId="11" xfId="0" applyNumberFormat="1" applyFont="1" applyFill="1" applyBorder="1" applyAlignment="1">
      <x:alignment vertical="center"/>
    </x:xf>
    <x:xf numFmtId="0" fontId="0" fillId="12" borderId="6" xfId="0" applyNumberFormat="1" applyFont="1" applyFill="1" applyBorder="1" applyAlignment="1">
      <x:alignment vertical="center"/>
    </x:xf>
    <x:xf numFmtId="0" fontId="0" fillId="12" borderId="12" xfId="0" applyNumberFormat="1" applyFont="1" applyFill="1" applyBorder="1" applyAlignment="1">
      <x:alignment vertical="center"/>
    </x:xf>
    <x:xf numFmtId="0" fontId="0" fillId="12" borderId="13" xfId="0" applyNumberFormat="1" applyFont="1" applyFill="1" applyBorder="1" applyAlignment="1">
      <x:alignment vertical="center"/>
    </x:xf>
    <x:xf numFmtId="0" fontId="0" fillId="12" borderId="14" xfId="0" applyNumberFormat="1" applyFont="1" applyFill="1" applyBorder="1" applyAlignment="1">
      <x:alignment vertical="center"/>
    </x:xf>
    <x:xf numFmtId="0" fontId="0" fillId="12" borderId="3" xfId="0" applyNumberFormat="1" applyFont="1" applyFill="1" applyBorder="1" applyAlignment="1">
      <x:alignment vertical="center"/>
    </x:xf>
    <x:xf numFmtId="0" fontId="0" fillId="12" borderId="9" xfId="0" applyNumberFormat="1" applyFont="1" applyFill="1" applyBorder="1" applyAlignment="1">
      <x:alignment vertical="center"/>
    </x:xf>
    <x:xf numFmtId="0" fontId="0" fillId="12" borderId="1" xfId="0" applyNumberFormat="1" applyFont="1" applyFill="1" applyBorder="1" applyAlignment="1">
      <x:alignment vertical="center"/>
    </x:xf>
    <x:xf numFmtId="0" fontId="0" fillId="10" borderId="8" xfId="0" applyNumberFormat="1" applyFont="1" applyFill="1" applyBorder="1" applyAlignment="1">
      <x:alignment vertical="center"/>
    </x:xf>
    <x:xf numFmtId="0" fontId="0" fillId="10" borderId="12" xfId="0" applyNumberFormat="1" applyFont="1" applyFill="1" applyBorder="1" applyAlignment="1">
      <x:alignment vertical="center"/>
    </x:xf>
    <x:xf numFmtId="0" fontId="0" fillId="10" borderId="3" xfId="0" applyNumberFormat="1" applyFont="1" applyFill="1" applyBorder="1" applyAlignment="1">
      <x:alignment vertical="center"/>
    </x:xf>
    <x:xf numFmtId="0" fontId="17" fillId="10" borderId="8" xfId="0" applyNumberFormat="1" applyFont="1" applyFill="1" applyBorder="1" applyAlignment="1">
      <x:alignment vertical="center"/>
    </x:xf>
    <x:xf numFmtId="0" fontId="17" fillId="10" borderId="12" xfId="0" applyNumberFormat="1" applyFont="1" applyFill="1" applyBorder="1" applyAlignment="1">
      <x:alignment vertical="center"/>
    </x:xf>
    <x:xf numFmtId="0" fontId="17" fillId="10" borderId="3" xfId="0" applyNumberFormat="1" applyFont="1" applyFill="1" applyBorder="1" applyAlignment="1">
      <x:alignment vertical="center"/>
    </x:xf>
    <x:xf numFmtId="0" fontId="17" fillId="10" borderId="8" xfId="0" applyNumberFormat="1" applyFont="1" applyFill="1" applyBorder="1" applyAlignment="1">
      <x:alignment horizontal="center" vertical="center"/>
    </x:xf>
    <x:xf numFmtId="0" fontId="17" fillId="10" borderId="12" xfId="0" applyNumberFormat="1" applyFont="1" applyFill="1" applyBorder="1" applyAlignment="1">
      <x:alignment horizontal="center" vertical="center"/>
    </x:xf>
    <x:xf numFmtId="0" fontId="17" fillId="10" borderId="3" xfId="0" applyNumberFormat="1" applyFont="1" applyFill="1" applyBorder="1" applyAlignment="1">
      <x:alignment horizontal="center" vertical="center"/>
    </x:xf>
    <x:xf numFmtId="0" fontId="19" fillId="12" borderId="6" xfId="0" applyNumberFormat="1" applyFont="1" applyFill="1" applyBorder="1" applyAlignment="1">
      <x:alignment vertical="center"/>
    </x:xf>
    <x:xf numFmtId="0" fontId="19" fillId="12" borderId="13" xfId="0" applyNumberFormat="1" applyFont="1" applyFill="1" applyBorder="1" applyAlignment="1">
      <x:alignment vertical="center"/>
    </x:xf>
    <x:xf numFmtId="0" fontId="19" fillId="12" borderId="14" xfId="0" applyNumberFormat="1" applyFont="1" applyFill="1" applyBorder="1" applyAlignment="1">
      <x:alignment vertical="center"/>
    </x:xf>
    <x:xf numFmtId="0" fontId="19" fillId="12" borderId="1" xfId="0" applyNumberFormat="1" applyFont="1" applyFill="1" applyBorder="1" applyAlignment="1">
      <x:alignment vertical="center"/>
    </x:xf>
    <x:xf numFmtId="0" fontId="0" fillId="13" borderId="8" xfId="0" applyNumberFormat="1" applyFont="1" applyFill="1" applyBorder="1"/>
    <x:xf numFmtId="0" fontId="0" fillId="13" borderId="11" xfId="0" applyNumberFormat="1" applyFont="1" applyFill="1" applyBorder="1"/>
    <x:xf numFmtId="0" fontId="0" fillId="13" borderId="6" xfId="0" applyNumberFormat="1" applyFont="1" applyFill="1" applyBorder="1"/>
    <x:xf numFmtId="0" fontId="0" fillId="13" borderId="12" xfId="0" applyNumberFormat="1" applyFont="1" applyFill="1" applyBorder="1"/>
    <x:xf numFmtId="0" fontId="0" fillId="13" borderId="13" xfId="0" applyNumberFormat="1" applyFont="1" applyFill="1" applyBorder="1"/>
    <x:xf numFmtId="0" fontId="0" fillId="13" borderId="14" xfId="0" applyNumberFormat="1" applyFont="1" applyFill="1" applyBorder="1"/>
    <x:xf numFmtId="0" fontId="0" fillId="13" borderId="3" xfId="0" applyNumberFormat="1" applyFont="1" applyFill="1" applyBorder="1"/>
    <x:xf numFmtId="0" fontId="0" fillId="13" borderId="9" xfId="0" applyNumberFormat="1" applyFont="1" applyFill="1" applyBorder="1"/>
    <x:xf numFmtId="0" fontId="0" fillId="13" borderId="1" xfId="0" applyNumberFormat="1" applyFont="1" applyFill="1" applyBorder="1"/>
    <x:xf numFmtId="0" fontId="0" fillId="13" borderId="8" xfId="0" applyNumberFormat="1" applyFont="1" applyFill="1" applyBorder="1" applyAlignment="1">
      <x:alignment wrapText="1"/>
    </x:xf>
    <x:xf numFmtId="0" fontId="0" fillId="13" borderId="11" xfId="0" applyNumberFormat="1" applyFont="1" applyFill="1" applyBorder="1" applyAlignment="1">
      <x:alignment wrapText="1"/>
    </x:xf>
    <x:xf numFmtId="0" fontId="0" fillId="13" borderId="6" xfId="0" applyNumberFormat="1" applyFont="1" applyFill="1" applyBorder="1" applyAlignment="1">
      <x:alignment wrapText="1"/>
    </x:xf>
    <x:xf numFmtId="0" fontId="0" fillId="13" borderId="12" xfId="0" applyNumberFormat="1" applyFont="1" applyFill="1" applyBorder="1" applyAlignment="1">
      <x:alignment wrapText="1"/>
    </x:xf>
    <x:xf numFmtId="0" fontId="0" fillId="13" borderId="13" xfId="0" applyNumberFormat="1" applyFont="1" applyFill="1" applyBorder="1" applyAlignment="1">
      <x:alignment wrapText="1"/>
    </x:xf>
    <x:xf numFmtId="0" fontId="0" fillId="13" borderId="14" xfId="0" applyNumberFormat="1" applyFont="1" applyFill="1" applyBorder="1" applyAlignment="1">
      <x:alignment wrapText="1"/>
    </x:xf>
    <x:xf numFmtId="0" fontId="0" fillId="13" borderId="3" xfId="0" applyNumberFormat="1" applyFont="1" applyFill="1" applyBorder="1" applyAlignment="1">
      <x:alignment wrapText="1"/>
    </x:xf>
    <x:xf numFmtId="0" fontId="0" fillId="13" borderId="9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0" fillId="13" borderId="8" xfId="0" applyNumberFormat="1" applyFont="1" applyFill="1" applyBorder="1" applyAlignment="1">
      <x:alignment vertical="center" wrapText="1"/>
    </x:xf>
    <x:xf numFmtId="0" fontId="0" fillId="13" borderId="11" xfId="0" applyNumberFormat="1" applyFont="1" applyFill="1" applyBorder="1" applyAlignment="1">
      <x:alignment vertical="center" wrapText="1"/>
    </x:xf>
    <x:xf numFmtId="0" fontId="0" fillId="13" borderId="6" xfId="0" applyNumberFormat="1" applyFont="1" applyFill="1" applyBorder="1" applyAlignment="1">
      <x:alignment vertical="center" wrapText="1"/>
    </x:xf>
    <x:xf numFmtId="0" fontId="0" fillId="13" borderId="12" xfId="0" applyNumberFormat="1" applyFont="1" applyFill="1" applyBorder="1" applyAlignment="1">
      <x:alignment vertical="center" wrapText="1"/>
    </x:xf>
    <x:xf numFmtId="0" fontId="0" fillId="13" borderId="13" xfId="0" applyNumberFormat="1" applyFont="1" applyFill="1" applyBorder="1" applyAlignment="1">
      <x:alignment vertical="center" wrapText="1"/>
    </x:xf>
    <x:xf numFmtId="0" fontId="0" fillId="13" borderId="14" xfId="0" applyNumberFormat="1" applyFont="1" applyFill="1" applyBorder="1" applyAlignment="1">
      <x:alignment vertical="center" wrapText="1"/>
    </x:xf>
    <x:xf numFmtId="0" fontId="0" fillId="13" borderId="3" xfId="0" applyNumberFormat="1" applyFont="1" applyFill="1" applyBorder="1" applyAlignment="1">
      <x:alignment vertical="center" wrapText="1"/>
    </x:xf>
    <x:xf numFmtId="0" fontId="0" fillId="13" borderId="9" xfId="0" applyNumberFormat="1" applyFont="1" applyFill="1" applyBorder="1" applyAlignment="1">
      <x:alignment vertical="center" wrapText="1"/>
    </x:xf>
    <x:xf numFmtId="0" fontId="0" fillId="13" borderId="1" xfId="0" applyNumberFormat="1" applyFont="1" applyFill="1" applyBorder="1" applyAlignment="1">
      <x:alignment vertical="center" wrapText="1"/>
    </x:xf>
    <x:xf numFmtId="0" fontId="17" fillId="10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0" fillId="15" borderId="8" xfId="0" applyNumberFormat="1" applyFont="1" applyFill="1" applyBorder="1"/>
    <x:xf numFmtId="0" fontId="0" fillId="15" borderId="11" xfId="0" applyNumberFormat="1" applyFont="1" applyFill="1" applyBorder="1"/>
    <x:xf numFmtId="0" fontId="0" fillId="15" borderId="6" xfId="0" applyNumberFormat="1" applyFont="1" applyFill="1" applyBorder="1"/>
    <x:xf numFmtId="0" fontId="0" fillId="15" borderId="12" xfId="0" applyNumberFormat="1" applyFont="1" applyFill="1" applyBorder="1"/>
    <x:xf numFmtId="0" fontId="0" fillId="15" borderId="13" xfId="0" applyNumberFormat="1" applyFont="1" applyFill="1" applyBorder="1"/>
    <x:xf numFmtId="0" fontId="0" fillId="15" borderId="14" xfId="0" applyNumberFormat="1" applyFont="1" applyFill="1" applyBorder="1"/>
    <x:xf numFmtId="0" fontId="0" fillId="15" borderId="3" xfId="0" applyNumberFormat="1" applyFont="1" applyFill="1" applyBorder="1"/>
    <x:xf numFmtId="0" fontId="0" fillId="15" borderId="9" xfId="0" applyNumberFormat="1" applyFont="1" applyFill="1" applyBorder="1"/>
    <x:xf numFmtId="0" fontId="0" fillId="15" borderId="1" xfId="0" applyNumberFormat="1" applyFont="1" applyFill="1" applyBorder="1"/>
    <x:xf numFmtId="0" fontId="0" fillId="15" borderId="8" xfId="0" applyNumberFormat="1" applyFont="1" applyFill="1" applyBorder="1" applyAlignment="1">
      <x:alignment wrapText="1"/>
    </x:xf>
    <x:xf numFmtId="0" fontId="0" fillId="15" borderId="11" xfId="0" applyNumberFormat="1" applyFont="1" applyFill="1" applyBorder="1" applyAlignment="1">
      <x:alignment wrapText="1"/>
    </x:xf>
    <x:xf numFmtId="0" fontId="0" fillId="15" borderId="6" xfId="0" applyNumberFormat="1" applyFont="1" applyFill="1" applyBorder="1" applyAlignment="1">
      <x:alignment wrapText="1"/>
    </x:xf>
    <x:xf numFmtId="0" fontId="0" fillId="15" borderId="12" xfId="0" applyNumberFormat="1" applyFont="1" applyFill="1" applyBorder="1" applyAlignment="1">
      <x:alignment wrapText="1"/>
    </x:xf>
    <x:xf numFmtId="0" fontId="0" fillId="15" borderId="13" xfId="0" applyNumberFormat="1" applyFont="1" applyFill="1" applyBorder="1" applyAlignment="1">
      <x:alignment wrapText="1"/>
    </x:xf>
    <x:xf numFmtId="0" fontId="0" fillId="15" borderId="14" xfId="0" applyNumberFormat="1" applyFont="1" applyFill="1" applyBorder="1" applyAlignment="1">
      <x:alignment wrapText="1"/>
    </x:xf>
    <x:xf numFmtId="0" fontId="0" fillId="15" borderId="3" xfId="0" applyNumberFormat="1" applyFont="1" applyFill="1" applyBorder="1" applyAlignment="1">
      <x:alignment wrapText="1"/>
    </x:xf>
    <x:xf numFmtId="0" fontId="0" fillId="15" borderId="9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wrapText="1"/>
    </x:xf>
    <x:xf numFmtId="0" fontId="0" fillId="15" borderId="8" xfId="0" applyNumberFormat="1" applyFont="1" applyFill="1" applyBorder="1" applyAlignment="1">
      <x:alignment vertical="center" wrapText="1"/>
    </x:xf>
    <x:xf numFmtId="0" fontId="0" fillId="15" borderId="11" xfId="0" applyNumberFormat="1" applyFont="1" applyFill="1" applyBorder="1" applyAlignment="1">
      <x:alignment vertical="center" wrapText="1"/>
    </x:xf>
    <x:xf numFmtId="0" fontId="0" fillId="15" borderId="6" xfId="0" applyNumberFormat="1" applyFont="1" applyFill="1" applyBorder="1" applyAlignment="1">
      <x:alignment vertical="center" wrapText="1"/>
    </x:xf>
    <x:xf numFmtId="0" fontId="0" fillId="15" borderId="12" xfId="0" applyNumberFormat="1" applyFont="1" applyFill="1" applyBorder="1" applyAlignment="1">
      <x:alignment vertical="center" wrapText="1"/>
    </x:xf>
    <x:xf numFmtId="0" fontId="0" fillId="15" borderId="13" xfId="0" applyNumberFormat="1" applyFont="1" applyFill="1" applyBorder="1" applyAlignment="1">
      <x:alignment vertical="center" wrapText="1"/>
    </x:xf>
    <x:xf numFmtId="0" fontId="0" fillId="15" borderId="14" xfId="0" applyNumberFormat="1" applyFont="1" applyFill="1" applyBorder="1" applyAlignment="1">
      <x:alignment vertical="center" wrapText="1"/>
    </x:xf>
    <x:xf numFmtId="0" fontId="0" fillId="15" borderId="3" xfId="0" applyNumberFormat="1" applyFont="1" applyFill="1" applyBorder="1" applyAlignment="1">
      <x:alignment vertical="center" wrapText="1"/>
    </x:xf>
    <x:xf numFmtId="0" fontId="0" fillId="15" borderId="9" xfId="0" applyNumberFormat="1" applyFont="1" applyFill="1" applyBorder="1" applyAlignment="1">
      <x:alignment vertical="center" wrapText="1"/>
    </x:xf>
    <x:xf numFmtId="0" fontId="0" fillId="15" borderId="1" xfId="0" applyNumberFormat="1" applyFont="1" applyFill="1" applyBorder="1" applyAlignment="1">
      <x:alignment vertical="center" wrapText="1"/>
    </x:xf>
    <x:xf numFmtId="0" fontId="0" fillId="14" borderId="11" xfId="0" applyNumberFormat="1" applyFont="1" applyFill="1" applyBorder="1" applyAlignment="1">
      <x:alignment vertical="center" wrapText="1"/>
    </x:xf>
    <x:xf numFmtId="0" fontId="0" fillId="14" borderId="13" xfId="0" applyNumberFormat="1" applyFont="1" applyFill="1" applyBorder="1" applyAlignment="1">
      <x:alignment vertical="center" wrapText="1"/>
    </x:xf>
    <x:xf numFmtId="0" fontId="0" fillId="14" borderId="9" xfId="0" applyNumberFormat="1" applyFont="1" applyFill="1" applyBorder="1" applyAlignment="1">
      <x:alignment vertical="center" wrapText="1"/>
    </x:xf>
    <x:xf numFmtId="0" fontId="21" fillId="14" borderId="11" xfId="0" applyNumberFormat="1" applyFont="1" applyFill="1" applyBorder="1" applyAlignment="1">
      <x:alignment vertical="center" wrapText="1"/>
    </x:xf>
    <x:xf numFmtId="0" fontId="21" fillId="14" borderId="13" xfId="0" applyNumberFormat="1" applyFont="1" applyFill="1" applyBorder="1" applyAlignment="1">
      <x:alignment vertical="center" wrapText="1"/>
    </x:xf>
    <x:xf numFmtId="0" fontId="21" fillId="14" borderId="9" xfId="0" applyNumberFormat="1" applyFont="1" applyFill="1" applyBorder="1" applyAlignment="1">
      <x:alignment vertical="center" wrapText="1"/>
    </x:xf>
    <x:xf numFmtId="0" fontId="21" fillId="14" borderId="11" xfId="0" applyNumberFormat="1" applyFont="1" applyFill="1" applyBorder="1" applyAlignment="1">
      <x:alignment horizontal="center" vertical="center" wrapText="1"/>
    </x:xf>
    <x:xf numFmtId="0" fontId="21" fillId="14" borderId="13" xfId="0" applyNumberFormat="1" applyFont="1" applyFill="1" applyBorder="1" applyAlignment="1">
      <x:alignment horizontal="center" vertical="center" wrapText="1"/>
    </x:xf>
    <x:xf numFmtId="0" fontId="21" fillId="14" borderId="9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0" fillId="16" borderId="8" xfId="0" applyNumberFormat="1" applyFont="1" applyFill="1" applyBorder="1"/>
    <x:xf numFmtId="0" fontId="0" fillId="16" borderId="6" xfId="0" applyNumberFormat="1" applyFont="1" applyFill="1" applyBorder="1"/>
    <x:xf numFmtId="0" fontId="0" fillId="16" borderId="12" xfId="0" applyNumberFormat="1" applyFont="1" applyFill="1" applyBorder="1"/>
    <x:xf numFmtId="0" fontId="0" fillId="16" borderId="14" xfId="0" applyNumberFormat="1" applyFont="1" applyFill="1" applyBorder="1"/>
    <x:xf numFmtId="0" fontId="0" fillId="16" borderId="3" xfId="0" applyNumberFormat="1" applyFont="1" applyFill="1" applyBorder="1"/>
    <x:xf numFmtId="0" fontId="0" fillId="16" borderId="1" xfId="0" applyNumberFormat="1" applyFont="1" applyFill="1" applyBorder="1"/>
    <x:xf numFmtId="0" fontId="19" fillId="16" borderId="6" xfId="0" applyNumberFormat="1" applyFont="1" applyFill="1" applyBorder="1"/>
    <x:xf numFmtId="0" fontId="19" fillId="16" borderId="14" xfId="0" applyNumberFormat="1" applyFont="1" applyFill="1" applyBorder="1"/>
    <x:xf numFmtId="0" fontId="19" fillId="16" borderId="1" xfId="0" applyNumberFormat="1" applyFont="1" applyFill="1" applyBorder="1"/>
    <x:xf numFmtId="201" fontId="19" fillId="16" borderId="6" xfId="0" applyNumberFormat="1" applyFont="1" applyFill="1" applyBorder="1"/>
    <x:xf numFmtId="201" fontId="19" fillId="16" borderId="14" xfId="0" applyNumberFormat="1" applyFont="1" applyFill="1" applyBorder="1"/>
    <x:xf numFmtId="201" fontId="19" fillId="16" borderId="1" xfId="0" applyNumberFormat="1" applyFont="1" applyFill="1" applyBorder="1"/>
    <x:xf numFmtId="201" fontId="19" fillId="16" borderId="6" xfId="0" applyNumberFormat="1" applyFont="1" applyFill="1" applyBorder="1" applyAlignment="1">
      <x:alignment horizontal="right"/>
    </x:xf>
    <x:xf numFmtId="201" fontId="19" fillId="16" borderId="14" xfId="0" applyNumberFormat="1" applyFont="1" applyFill="1" applyBorder="1" applyAlignment="1">
      <x:alignment horizontal="right"/>
    </x:xf>
    <x:xf numFmtId="201" fontId="19" fillId="16" borderId="1" xfId="0" applyNumberFormat="1" applyFont="1" applyFill="1" applyBorder="1" applyAlignment="1">
      <x:alignment horizontal="right"/>
    </x:xf>
    <x:xf numFmtId="0" fontId="22" fillId="11" borderId="0" xfId="0" applyNumberFormat="1" applyFont="1" applyFill="1" applyBorder="1"/>
    <x:xf numFmtId="0" fontId="22" fillId="11" borderId="1" xfId="0" applyNumberFormat="1" applyFont="1" applyFill="1" applyBorder="1"/>
    <x:xf numFmtId="0" fontId="22" fillId="11" borderId="2" xfId="0" applyNumberFormat="1" applyFont="1" applyFill="1" applyBorder="1"/>
    <x:xf numFmtId="0" fontId="22" fillId="11" borderId="3" xfId="0" applyNumberFormat="1" applyFont="1" applyFill="1" applyBorder="1"/>
    <x:xf numFmtId="0" fontId="22" fillId="11" borderId="6" xfId="0" applyNumberFormat="1" applyFont="1" applyFill="1" applyBorder="1"/>
    <x:xf numFmtId="0" fontId="22" fillId="11" borderId="7" xfId="0" applyNumberFormat="1" applyFont="1" applyFill="1" applyBorder="1"/>
    <x:xf numFmtId="0" fontId="22" fillId="11" borderId="8" xfId="0" applyNumberFormat="1" applyFont="1" applyFill="1" applyBorder="1"/>
    <x:xf numFmtId="0" fontId="22" fillId="11" borderId="1" xfId="0" applyNumberFormat="1" applyFont="1" applyFill="1" applyBorder="1" applyAlignment="1">
      <x:alignment wrapText="1"/>
    </x:xf>
    <x:xf numFmtId="0" fontId="22" fillId="11" borderId="2" xfId="0" applyNumberFormat="1" applyFont="1" applyFill="1" applyBorder="1" applyAlignment="1">
      <x:alignment wrapText="1"/>
    </x:xf>
    <x:xf numFmtId="0" fontId="22" fillId="11" borderId="3" xfId="0" applyNumberFormat="1" applyFont="1" applyFill="1" applyBorder="1" applyAlignment="1">
      <x:alignment wrapText="1"/>
    </x:xf>
    <x:xf numFmtId="0" fontId="22" fillId="11" borderId="6" xfId="0" applyNumberFormat="1" applyFont="1" applyFill="1" applyBorder="1" applyAlignment="1">
      <x:alignment wrapText="1"/>
    </x:xf>
    <x:xf numFmtId="0" fontId="22" fillId="11" borderId="7" xfId="0" applyNumberFormat="1" applyFont="1" applyFill="1" applyBorder="1" applyAlignment="1">
      <x:alignment wrapText="1"/>
    </x:xf>
    <x:xf numFmtId="0" fontId="22" fillId="11" borderId="8" xfId="0" applyNumberFormat="1" applyFont="1" applyFill="1" applyBorder="1" applyAlignment="1">
      <x:alignment wrapText="1"/>
    </x:xf>
    <x:xf numFmtId="0" fontId="22" fillId="11" borderId="1" xfId="0" applyNumberFormat="1" applyFont="1" applyFill="1" applyBorder="1" applyAlignment="1">
      <x:alignment vertical="center" wrapText="1"/>
    </x:xf>
    <x:xf numFmtId="0" fontId="22" fillId="11" borderId="2" xfId="0" applyNumberFormat="1" applyFont="1" applyFill="1" applyBorder="1" applyAlignment="1">
      <x:alignment vertical="center" wrapText="1"/>
    </x:xf>
    <x:xf numFmtId="0" fontId="22" fillId="11" borderId="3" xfId="0" applyNumberFormat="1" applyFont="1" applyFill="1" applyBorder="1" applyAlignment="1">
      <x:alignment vertical="center" wrapText="1"/>
    </x:xf>
    <x:xf numFmtId="0" fontId="22" fillId="11" borderId="6" xfId="0" applyNumberFormat="1" applyFont="1" applyFill="1" applyBorder="1" applyAlignment="1">
      <x:alignment vertical="center" wrapText="1"/>
    </x:xf>
    <x:xf numFmtId="0" fontId="22" fillId="11" borderId="7" xfId="0" applyNumberFormat="1" applyFont="1" applyFill="1" applyBorder="1" applyAlignment="1">
      <x:alignment vertical="center" wrapText="1"/>
    </x:xf>
    <x:xf numFmtId="0" fontId="22" fillId="11" borderId="8" xfId="0" applyNumberFormat="1" applyFont="1" applyFill="1" applyBorder="1" applyAlignment="1">
      <x:alignment vertical="center" wrapText="1"/>
    </x:xf>
  </x:cellXfs>
  <x:cellStyles count="2">
    <x:cellStyle name="Normal" xfId="1"/>
    <x:cellStyle name="표준" xfId="0"/>
  </x:cellStyles>
  <x:dxfs count="7">
    <x:dxf>
      <x:font>
        <x:b/>
        <x:color rgb="FFFFFFFF"/>
      </x:font>
      <x:fill>
        <x:patternFill>
          <x:bgColor rgb="FFFF8F7A"/>
        </x:patternFill>
      </x:fill>
    </x:dxf>
    <x:dxf>
      <x:font>
        <x:b/>
        <x:color rgb="FFFFFFFF"/>
      </x:font>
      <x:fill>
        <x:patternFill>
          <x:bgColor rgb="FF87C9B6"/>
        </x:patternFill>
      </x:fill>
    </x:dxf>
    <x:dxf>
      <x:font>
        <x:b/>
        <x:color rgb="FFFFFFFF"/>
      </x:font>
      <x:fill>
        <x:patternFill>
          <x:bgColor rgb="FFFF8F7A"/>
        </x:patternFill>
      </x:fill>
    </x:dxf>
    <x:dxf>
      <x:font>
        <x:b/>
        <x:color rgb="FF24324B"/>
      </x:font>
      <x:fill>
        <x:patternFill>
          <x:bgColor rgb="FFFFF8DF"/>
        </x:patternFill>
      </x:fill>
    </x:dxf>
    <x:dxf>
      <x:font>
        <x:color rgb="FFC94A4A"/>
      </x:font>
      <x:fill>
        <x:patternFill>
          <x:bgColor rgb="FFFFF0EC"/>
        </x:patternFill>
      </x:fill>
    </x:dxf>
    <x:dxf>
      <x:font>
        <x:b/>
        <x:color rgb="FF24324B"/>
      </x:font>
      <x:fill>
        <x:patternFill>
          <x:bgColor rgb="FFEAF2FB"/>
        </x:patternFill>
      </x:fill>
    </x:dxf>
    <x:dxf>
      <x:font>
        <x:b/>
        <x:color rgb="FF2F7D65"/>
      </x:font>
      <x:fill>
        <x:patternFill>
          <x:bgColor rgb="FFE8F5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fa882dc0f14db9" /><Relationship Type="http://schemas.openxmlformats.org/officeDocument/2006/relationships/theme" Target="/xl/theme/theme1.xml" Id="R39f71e36c05c46fe" /><Relationship Type="http://schemas.openxmlformats.org/officeDocument/2006/relationships/sharedStrings" Target="/xl/sharedStrings.xml" Id="R8dc6d23f92cc43c1" /><Relationship Type="http://schemas.openxmlformats.org/officeDocument/2006/relationships/worksheet" Target="/xl/worksheets/sheet1.xml" Id="R628710d529a643d5" /><Relationship Type="http://schemas.openxmlformats.org/officeDocument/2006/relationships/worksheet" Target="/xl/worksheets/sheet2.xml" Id="Rca86ce89c5be4dff" /><Relationship Type="http://schemas.openxmlformats.org/officeDocument/2006/relationships/worksheet" Target="/xl/worksheets/sheet3.xml" Id="Rd323914821014781" /><Relationship Type="http://schemas.openxmlformats.org/officeDocument/2006/relationships/worksheet" Target="/xl/worksheets/sheet4.xml" Id="R877287bd15b34cdb" /><Relationship Type="http://schemas.microsoft.com/office/2017/10/relationships/person" Target="/xl/persons/person.xml" Id="R65c2c8f1b8e74b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2bf5d1183f453a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작업 묶음별 진행률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진행률</c:v>
          </c:tx>
          <c:cat>
            <c:strRef>
              <c:f>대시보드!$A$24:$A$28</c:f>
              <c:strCache>
                <c:ptCount val="5"/>
                <c:pt idx="0">
                  <c:v>공통</c:v>
                </c:pt>
                <c:pt idx="1">
                  <c:v>무료 웹</c:v>
                </c:pt>
                <c:pt idx="2">
                  <c:v>스토어</c:v>
                </c:pt>
                <c:pt idx="3">
                  <c:v>유료</c:v>
                </c:pt>
                <c:pt idx="4">
                  <c:v>백로그</c:v>
                </c:pt>
              </c:strCache>
            </c:strRef>
          </c:cat>
          <c:val>
            <c:numRef>
              <c:f>대시보드!$B$24:$B$28</c:f>
              <c:numCache>
                <c:formatCode>0%</c:formatCode>
                <c:ptCount val="5"/>
                <c:pt idx="0">
                  <c:v>1</c:v>
                </c:pt>
                <c:pt idx="1">
                  <c:v>0.44</c:v>
                </c:pt>
                <c:pt idx="2">
                  <c:v>0.08333333333333333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15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2bf5d1183f453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6</xdr:col>
      <xdr:colOff>152400</xdr:colOff>
      <xdr:row>19</xdr:row>
      <xdr:rowOff>15240</xdr:rowOff>
    </xdr:to>
    <xdr:sp>
      <xdr:nvSpPr>
        <xdr:cNvPr id="1" name="Text Box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620000" cy="762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152400</xdr:colOff>
      <xdr:row>19</xdr:row>
      <xdr:rowOff>15240</xdr:rowOff>
    </xdr:to>
    <xdr:sp>
      <xdr:nvSpPr>
        <xdr:cNvPr id="2" name="Auto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620000" cy="762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</xdr:spPr>
    </xdr:sp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8</xdr:col>
      <xdr:colOff>533400</xdr:colOff>
      <xdr:row>20</xdr:row>
      <xdr:rowOff>320040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620000" cy="762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533400</xdr:colOff>
      <xdr:row>20</xdr:row>
      <xdr:rowOff>320040</xdr:rowOff>
    </xdr:to>
    <xdr:sp>
      <xdr:nvSpPr>
        <xdr:cNvPr id="2" name="Auto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620000" cy="762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정석영" id="{8F3491E5-5D6E-49D5-B58E-622A6F7F48D0}"/>
</xltc:personList>
</file>

<file path=xl/tables/table1.xml><?xml version="1.0" encoding="utf-8"?>
<x:table xmlns:x="http://schemas.openxmlformats.org/spreadsheetml/2006/main" id="1" name="LaunchChecklistTable" displayName="LaunchChecklistTable" ref="A5:M90" headerRowCount="1" totalsRowCount="0" totalsRowShown="0">
  <x:autoFilter ref="A5:M90"/>
  <x:tableColumns count="13">
    <x:tableColumn id="1" name="ID"/>
    <x:tableColumn id="2" name="적용 게이트"/>
    <x:tableColumn id="3" name="우선순위"/>
    <x:tableColumn id="4" name="영역"/>
    <x:tableColumn id="5" name="작업"/>
    <x:tableColumn id="6" name="상태"/>
    <x:tableColumn id="7" name="담당자"/>
    <x:tableColumn id="8" name="목표일"/>
    <x:tableColumn id="9" name="완료 증거"/>
    <x:tableColumn id="10" name="근거/링크"/>
    <x:tableColumn id="11" name="진행률"/>
    <x:tableColumn id="12" name="출시 차단"/>
    <x:tableColumn id="13" name="최종 업데이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LaunchLogTable" displayName="DailyLaunchLogTable" ref="A5:Q36" totalsRowShown="0">
  <x:tableColumns count="17">
    <x:tableColumn id="1" name="날짜"/>
    <x:tableColumn id="2" name="홈페이지"/>
    <x:tableColumn id="3" name="/api/health"/>
    <x:tableColumn id="4" name="운영 배포"/>
    <x:tableColumn id="5" name="Google 로그인"/>
    <x:tableColumn id="6" name="AI 계획"/>
    <x:tableColumn id="7" name="데이터 복원"/>
    <x:tableColumn id="8" name="5xx 급증"/>
    <x:tableColumn id="9" name="OAuth 오류"/>
    <x:tableColumn id="10" name="결제 차단"/>
    <x:tableColumn id="11" name="보안 이슈"/>
    <x:tableColumn id="12" name="치명적 버그"/>
    <x:tableColumn id="13" name="높은 버그"/>
    <x:tableColumn id="14" name="오늘 완료"/>
    <x:tableColumn id="15" name="내일 우선"/>
    <x:tableColumn id="16" name="일일 판정"/>
    <x:tableColumn id="17" name="HOLD 사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F5" dT="2026-07-15T03:05:58.037" personId="{8F3491E5-5D6E-49D5-B58E-622A6F7F48D0}" id="{2F6C9CFA-24E3-A117-1CC8-3B8245979769}">
    <xltc:text>상태를 완료·진행 중·미완료·확인 필요·해당 없음 중 하나로 선택하면 대시보드가 자동 계산됩니다.</xltc:text>
  </xltc:threadedComment>
  <xltc:threadedComment ref="I5" dT="2026-07-15T03:05:58.038" personId="{8F3491E5-5D6E-49D5-B58E-622A6F7F48D0}" id="{AEDAD88D-5590-B772-9A66-B5ABC3ADA84F}">
    <xltc:text>완료 시 GitHub Actions 실행, 스크린샷, 테스트 계정, 설정 화면 등 확인 가능한 증거를 남겨 주세요.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P5" dT="2026-07-15T03:05:58.039" personId="{8F3491E5-5D6E-49D5-B58E-622A6F7F48D0}" id="{5A973C4C-C64D-BB30-BBBC-08D0E2A74D5B}">
    <xltc:text>운영 점검 항목이 모두 정상이고 치명적·높은 버그가 0건이면 GO로 계산됩니다.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3f9aa580ab45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6c1e6d8ec87e4fc2" /><Relationship Type="http://schemas.openxmlformats.org/officeDocument/2006/relationships/vmlDrawing" Target="/xl/drawings/vmldrawing.vml" Id="R198d8c87782942de" /><Relationship Type="http://schemas.microsoft.com/office/2017/10/relationships/threadedComment" Target="/xl/threadedcomments/threadedcomment.xml" Id="R18d9d9344e9b489e" /><Relationship Type="http://schemas.openxmlformats.org/officeDocument/2006/relationships/drawing" Target="/xl/drawings/drawing2.xml" Id="R3ca17cbef2e04e76" /><Relationship Type="http://schemas.openxmlformats.org/officeDocument/2006/relationships/table" Target="/xl/tables/table1.xml" Id="Rec5602da2d1942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e920e764b2854791" /><Relationship Type="http://schemas.openxmlformats.org/officeDocument/2006/relationships/vmlDrawing" Target="/xl/drawings/vmldrawing2.vml" Id="Re8ed27a9362b4855" /><Relationship Type="http://schemas.microsoft.com/office/2017/10/relationships/threadedComment" Target="/xl/threadedcomments/threadedcomment2.xml" Id="R1438544e4bb14acb" /><Relationship Type="http://schemas.openxmlformats.org/officeDocument/2006/relationships/drawing" Target="/xl/drawings/drawing3.xml" Id="Rb408c77651364da1" /><Relationship Type="http://schemas.openxmlformats.org/officeDocument/2006/relationships/table" Target="/xl/tables/table2.xml" Id="Re8374951b0174f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4" customWidth="1"/>
    <x:col min="2" max="2" width="34" customWidth="1"/>
    <x:col min="3" max="3" width="13" customWidth="1"/>
    <x:col min="4" max="5" width="18" customWidth="1"/>
    <x:col min="6" max="12" width="13" customWidth="1"/>
  </x:cols>
  <x:sheetData>
    <x:row r="1" ht="30" customHeight="1">
      <x:c r="A1" s="66" t="s">
        <x:v>0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</x:row>
    <x:row r="2" ht="30" customHeight="1">
      <x:c r="A2" s="66"/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</x:row>
    <x:row r="3" ht="22.049999237060547" customHeight="1">
      <x:c r="A3" s="67" t="str">
        <x:v>기준일 2026-07-15 · Codex가 저장소·GitHub·운영 배포 증거를 대조했습니다.</x:v>
      </x:c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</x:row>
    <x:row r="4" ht="22.049999237060547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2.049999237060547" customHeight="1">
      <x:c r="A5" s="68" t="s">
        <x:v>1</x:v>
      </x:c>
      <x:c r="B5" s="69"/>
      <x:c r="C5" s="70"/>
      <x:c r="D5" s="77" t="s">
        <x:v>2</x:v>
      </x:c>
      <x:c r="E5" s="78"/>
      <x:c r="F5" s="79"/>
      <x:c r="G5" s="86" t="s">
        <x:v>3</x:v>
      </x:c>
      <x:c r="H5" s="87"/>
      <x:c r="I5" s="88"/>
      <x:c r="J5" s="95" t="s">
        <x:v>4</x:v>
      </x:c>
      <x:c r="K5" s="96"/>
      <x:c r="L5" s="97"/>
    </x:row>
    <x:row r="6" ht="22.049999237060547" customHeight="1">
      <x:c r="A6" s="71" t="n">
        <x:f>IFERROR(COUNTIFS('전체 체크리스트'!$C$6:$C$105,"P0",'전체 체크리스트'!$F$6:$F$105,"완료")/COUNTIF('전체 체크리스트'!$C$6:$C$105,"P0"),0)</x:f>
        <x:v>0.3888888888888889</x:v>
      </x:c>
      <x:c r="B6" s="72"/>
      <x:c r="C6" s="73"/>
      <x:c r="D6" s="80" t="str">
        <x:f>IF(COUNTIFS('전체 체크리스트'!$B$6:$B$105,"공통",'전체 체크리스트'!$C$6:$C$105,"P0",'전체 체크리스트'!$F$6:$F$105,"&lt;&gt;완료",'전체 체크리스트'!$F$6:$F$105,"&lt;&gt;해당 없음")+COUNTIFS('전체 체크리스트'!$B$6:$B$105,"무료 웹",'전체 체크리스트'!$C$6:$C$105,"P0",'전체 체크리스트'!$F$6:$F$105,"&lt;&gt;완료",'전체 체크리스트'!$F$6:$F$105,"&lt;&gt;해당 없음")=0,"GO","HOLD")</x:f>
        <x:v>HOLD</x:v>
      </x:c>
      <x:c r="E6" s="81"/>
      <x:c r="F6" s="82"/>
      <x:c r="G6" s="89" t="str">
        <x:f>IF(COUNTIFS('전체 체크리스트'!$B$6:$B$105,"공통",'전체 체크리스트'!$C$6:$C$105,"P0",'전체 체크리스트'!$F$6:$F$105,"&lt;&gt;완료",'전체 체크리스트'!$F$6:$F$105,"&lt;&gt;해당 없음")+COUNTIFS('전체 체크리스트'!$B$6:$B$105,"무료 웹",'전체 체크리스트'!$C$6:$C$105,"P0",'전체 체크리스트'!$F$6:$F$105,"&lt;&gt;완료",'전체 체크리스트'!$F$6:$F$105,"&lt;&gt;해당 없음")+COUNTIFS('전체 체크리스트'!$B$6:$B$105,"스토어",'전체 체크리스트'!$C$6:$C$105,"P0",'전체 체크리스트'!$F$6:$F$105,"&lt;&gt;완료",'전체 체크리스트'!$F$6:$F$105,"&lt;&gt;해당 없음")=0,"GO","HOLD")</x:f>
        <x:v>HOLD</x:v>
      </x:c>
      <x:c r="H6" s="90"/>
      <x:c r="I6" s="91"/>
      <x:c r="J6" s="98" t="str">
        <x:f>IF(COUNTIFS('전체 체크리스트'!$B$6:$B$105,"공통",'전체 체크리스트'!$C$6:$C$105,"P0",'전체 체크리스트'!$F$6:$F$105,"&lt;&gt;완료",'전체 체크리스트'!$F$6:$F$105,"&lt;&gt;해당 없음")+COUNTIFS('전체 체크리스트'!$B$6:$B$105,"무료 웹",'전체 체크리스트'!$C$6:$C$105,"P0",'전체 체크리스트'!$F$6:$F$105,"&lt;&gt;완료",'전체 체크리스트'!$F$6:$F$105,"&lt;&gt;해당 없음")+COUNTIFS('전체 체크리스트'!$B$6:$B$105,"스토어",'전체 체크리스트'!$C$6:$C$105,"P0",'전체 체크리스트'!$F$6:$F$105,"&lt;&gt;완료",'전체 체크리스트'!$F$6:$F$105,"&lt;&gt;해당 없음")+COUNTIFS('전체 체크리스트'!$B$6:$B$105,"유료",'전체 체크리스트'!$C$6:$C$105,"P0",'전체 체크리스트'!$F$6:$F$105,"&lt;&gt;완료",'전체 체크리스트'!$F$6:$F$105,"&lt;&gt;해당 없음")=0,"GO","HOLD")</x:f>
        <x:v>HOLD</x:v>
      </x:c>
      <x:c r="K6" s="99"/>
      <x:c r="L6" s="100"/>
    </x:row>
    <x:row r="7" ht="22.049999237060547" customHeight="1">
      <x:c r="A7" s="71"/>
      <x:c r="B7" s="72"/>
      <x:c r="C7" s="73"/>
      <x:c r="D7" s="80"/>
      <x:c r="E7" s="81"/>
      <x:c r="F7" s="82"/>
      <x:c r="G7" s="89"/>
      <x:c r="H7" s="90"/>
      <x:c r="I7" s="91"/>
      <x:c r="J7" s="98"/>
      <x:c r="K7" s="99"/>
      <x:c r="L7" s="100"/>
    </x:row>
    <x:row r="8" ht="22.049999237060547" customHeight="1">
      <x:c r="A8" s="74"/>
      <x:c r="B8" s="75"/>
      <x:c r="C8" s="76"/>
      <x:c r="D8" s="83"/>
      <x:c r="E8" s="84"/>
      <x:c r="F8" s="85"/>
      <x:c r="G8" s="92"/>
      <x:c r="H8" s="93"/>
      <x:c r="I8" s="94"/>
      <x:c r="J8" s="101"/>
      <x:c r="K8" s="102"/>
      <x:c r="L8" s="103"/>
    </x:row>
    <x:row r="9" ht="22.049999237060547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2.049999237060547" customHeight="1">
      <x:c r="A10" s="47" t="s">
        <x:v>5</x:v>
      </x:c>
      <x:c r="B10" s="47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</x:row>
    <x:row r="11" ht="24" customHeight="1">
      <x:c r="A11" s="48" t="str">
        <x:v>main 운영 배포는 성공했지만 PR #6은 DRAFT·CONFLICTING이며 최신 main의 가격·AI 크레딧 구현을 대량 제거하므로 그대로 병합하면 안 됩니다. 무료 웹 베타는 PR 재작성, 실계정 AI·격리·보안 QA, Provider 숨김, Cron·운영 감시 확인 후 GO입니다.</x:v>
      </x:c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50"/>
    </x:row>
    <x:row r="12" ht="24" customHeight="1">
      <x:c r="A12" s="51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3"/>
    </x:row>
    <x:row r="13" ht="24" customHeight="1">
      <x:c r="A13" s="51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3"/>
    </x:row>
    <x:row r="14" ht="24" customHeight="1">
      <x:c r="A14" s="54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6"/>
    </x:row>
    <x:row r="15" ht="22.049999237060547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2.049999237060547" customHeight="1">
      <x:c r="A16" s="2" t="s">
        <x:v>6</x:v>
      </x:c>
      <x:c r="B16" s="3" t="s">
        <x:v>7</x:v>
      </x:c>
      <x:c r="C16" s="3" t="s">
        <x:v>8</x:v>
      </x:c>
      <x:c r="D16" s="4" t="s">
        <x:v>9</x:v>
      </x:c>
      <x:c r="E16" s="1"/>
      <x:c r="F16" s="1"/>
      <x:c r="G16" s="1"/>
      <x:c r="H16" s="1"/>
      <x:c r="I16" s="1"/>
      <x:c r="J16" s="1"/>
      <x:c r="K16" s="1"/>
      <x:c r="L16" s="1"/>
    </x:row>
    <x:row r="17" ht="22.049999237060547" customHeight="1">
      <x:c r="A17" s="5" t="s">
        <x:v>10</x:v>
      </x:c>
      <x:c r="B17" s="6" t="n">
        <x:f>COUNTIF('전체 체크리스트'!$F$6:$F$105,A17)</x:f>
        <x:v>29</x:v>
      </x:c>
      <x:c r="C17" s="7" t="n">
        <x:f>IFERROR(B17/COUNTA('전체 체크리스트'!$A$6:$A$105),0)</x:f>
        <x:v>0.3411764705882353</x:v>
      </x:c>
      <x:c r="D17" s="8" t="s">
        <x:v>11</x:v>
      </x:c>
      <x:c r="E17" s="1"/>
      <x:c r="F17" s="1"/>
      <x:c r="G17" s="1"/>
      <x:c r="H17" s="1"/>
      <x:c r="I17" s="1"/>
      <x:c r="J17" s="1"/>
      <x:c r="K17" s="1"/>
      <x:c r="L17" s="1"/>
    </x:row>
    <x:row r="18" ht="22.049999237060547" customHeight="1">
      <x:c r="A18" s="5" t="s">
        <x:v>12</x:v>
      </x:c>
      <x:c r="B18" s="6" t="n">
        <x:f>COUNTIF('전체 체크리스트'!$F$6:$F$105,A18)</x:f>
        <x:v>6</x:v>
      </x:c>
      <x:c r="C18" s="7" t="n">
        <x:f>IFERROR(B18/COUNTA('전체 체크리스트'!$A$6:$A$105),0)</x:f>
        <x:v>0.07058823529411765</x:v>
      </x:c>
      <x:c r="D18" s="8" t="s">
        <x:v>13</x:v>
      </x:c>
      <x:c r="E18" s="1"/>
      <x:c r="F18" s="1"/>
      <x:c r="G18" s="1"/>
      <x:c r="H18" s="1"/>
      <x:c r="I18" s="1"/>
      <x:c r="J18" s="1"/>
      <x:c r="K18" s="1"/>
      <x:c r="L18" s="1"/>
    </x:row>
    <x:row r="19" ht="22.049999237060547" customHeight="1">
      <x:c r="A19" s="5" t="s">
        <x:v>14</x:v>
      </x:c>
      <x:c r="B19" s="6" t="n">
        <x:f>COUNTIF('전체 체크리스트'!$F$6:$F$105,A19)</x:f>
        <x:v>44</x:v>
      </x:c>
      <x:c r="C19" s="7" t="n">
        <x:f>IFERROR(B19/COUNTA('전체 체크리스트'!$A$6:$A$105),0)</x:f>
        <x:v>0.5176470588235295</x:v>
      </x:c>
      <x:c r="D19" s="8" t="s">
        <x:v>15</x:v>
      </x:c>
      <x:c r="E19" s="1"/>
      <x:c r="F19" s="1"/>
      <x:c r="G19" s="1"/>
      <x:c r="H19" s="1"/>
      <x:c r="I19" s="1"/>
      <x:c r="J19" s="1"/>
      <x:c r="K19" s="1"/>
      <x:c r="L19" s="1"/>
    </x:row>
    <x:row r="20" ht="22.049999237060547" customHeight="1">
      <x:c r="A20" s="5" t="s">
        <x:v>16</x:v>
      </x:c>
      <x:c r="B20" s="6" t="n">
        <x:f>COUNTIF('전체 체크리스트'!$F$6:$F$105,A20)</x:f>
        <x:v>5</x:v>
      </x:c>
      <x:c r="C20" s="7" t="n">
        <x:f>IFERROR(B20/COUNTA('전체 체크리스트'!$A$6:$A$105),0)</x:f>
        <x:v>0.058823529411764705</x:v>
      </x:c>
      <x:c r="D20" s="8" t="s">
        <x:v>17</x:v>
      </x:c>
      <x:c r="E20" s="1"/>
      <x:c r="F20" s="1"/>
      <x:c r="G20" s="1"/>
      <x:c r="H20" s="1"/>
      <x:c r="I20" s="1"/>
      <x:c r="J20" s="1"/>
      <x:c r="K20" s="1"/>
      <x:c r="L20" s="1"/>
    </x:row>
    <x:row r="21" ht="22.049999237060547" customHeight="1">
      <x:c r="A21" s="9" t="s">
        <x:v>18</x:v>
      </x:c>
      <x:c r="B21" s="10" t="n">
        <x:f>COUNTIF('전체 체크리스트'!$L$6:$L$105,"차단")</x:f>
        <x:v>43</x:v>
      </x:c>
      <x:c r="C21" s="11" t="n">
        <x:f>IFERROR(B21/COUNTIF('전체 체크리스트'!$C$6:$C$105,"P0"),0)</x:f>
        <x:v>0.5972222222222222</x:v>
      </x:c>
      <x:c r="D21" s="12" t="s">
        <x:v>19</x:v>
      </x:c>
      <x:c r="E21" s="1"/>
      <x:c r="F21" s="1"/>
      <x:c r="G21" s="1"/>
      <x:c r="H21" s="1"/>
      <x:c r="I21" s="1"/>
      <x:c r="J21" s="1"/>
      <x:c r="K21" s="1"/>
      <x:c r="L21" s="1"/>
    </x:row>
    <x:row r="22" ht="22.049999237060547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2.049999237060547" customHeight="1">
      <x:c r="A23" s="2" t="s">
        <x:v>20</x:v>
      </x:c>
      <x:c r="B23" s="3" t="s">
        <x:v>21</x:v>
      </x:c>
      <x:c r="C23" s="4" t="s">
        <x:v>22</x:v>
      </x:c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2.049999237060547" customHeight="1">
      <x:c r="A24" s="5" t="s">
        <x:v>23</x:v>
      </x:c>
      <x:c r="B24" s="7" t="n">
        <x:f>IFERROR(AVERAGEIF('전체 체크리스트'!$B$6:$B$105,A24,'전체 체크리스트'!$K$6:$K$105),0)</x:f>
        <x:v>1</x:v>
      </x:c>
      <x:c r="C24" s="13" t="n">
        <x:f>COUNTIFS('전체 체크리스트'!$B$6:$B$105,A24,'전체 체크리스트'!$C$6:$C$105,"P0",'전체 체크리스트'!$L$6:$L$105,"차단")</x:f>
        <x:v>0</x:v>
      </x:c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2.049999237060547" customHeight="1">
      <x:c r="A25" s="5" t="s">
        <x:v>24</x:v>
      </x:c>
      <x:c r="B25" s="7" t="n">
        <x:f>IFERROR(AVERAGEIF('전체 체크리스트'!$B$6:$B$105,A25,'전체 체크리스트'!$K$6:$K$105),0)</x:f>
        <x:v>0.5357142857142857</x:v>
      </x:c>
      <x:c r="C25" s="13" t="n">
        <x:f>COUNTIFS('전체 체크리스트'!$B$6:$B$105,A25,'전체 체크리스트'!$C$6:$C$105,"P0",'전체 체크리스트'!$L$6:$L$105,"차단")</x:f>
        <x:v>16</x:v>
      </x:c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2.049999237060547" customHeight="1">
      <x:c r="A26" s="5" t="s">
        <x:v>25</x:v>
      </x:c>
      <x:c r="B26" s="7" t="n">
        <x:f>IFERROR(AVERAGEIF('전체 체크리스트'!$B$6:$B$105,A26,'전체 체크리스트'!$K$6:$K$105),0)</x:f>
        <x:v>0.08333333333333333</x:v>
      </x:c>
      <x:c r="C26" s="13" t="n">
        <x:f>COUNTIFS('전체 체크리스트'!$B$6:$B$105,A26,'전체 체크리스트'!$C$6:$C$105,"P0",'전체 체크리스트'!$L$6:$L$105,"차단")</x:f>
        <x:v>16</x:v>
      </x:c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2.049999237060547" customHeight="1">
      <x:c r="A27" s="5" t="s">
        <x:v>26</x:v>
      </x:c>
      <x:c r="B27" s="7" t="n">
        <x:f>IFERROR(AVERAGEIF('전체 체크리스트'!$B$6:$B$105,A27,'전체 체크리스트'!$K$6:$K$105),0)</x:f>
        <x:v>0</x:v>
      </x:c>
      <x:c r="C27" s="13" t="n">
        <x:f>COUNTIFS('전체 체크리스트'!$B$6:$B$105,A27,'전체 체크리스트'!$C$6:$C$105,"P0",'전체 체크리스트'!$L$6:$L$105,"차단")</x:f>
        <x:v>11</x:v>
      </x:c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2.049999237060547" customHeight="1">
      <x:c r="A28" s="9" t="s">
        <x:v>27</x:v>
      </x:c>
      <x:c r="B28" s="11" t="n">
        <x:f>IFERROR(AVERAGEIF('전체 체크리스트'!$B$6:$B$105,A28,'전체 체크리스트'!$K$6:$K$105),0)</x:f>
        <x:v>0</x:v>
      </x:c>
      <x:c r="C28" s="14" t="n">
        <x:f>COUNTIFS('전체 체크리스트'!$B$6:$B$105,A28,'전체 체크리스트'!$C$6:$C$105,"P0",'전체 체크리스트'!$L$6:$L$105,"차단")</x:f>
        <x:v>0</x:v>
      </x:c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2.049999237060547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2.049999237060547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2.049999237060547" customHeight="1">
      <x:c r="A31" s="2" t="s">
        <x:v>28</x:v>
      </x:c>
      <x:c r="B31" s="3" t="s">
        <x:v>29</x:v>
      </x:c>
      <x:c r="C31" s="3" t="s">
        <x:v>6</x:v>
      </x:c>
      <x:c r="D31" s="3" t="s">
        <x:v>30</x:v>
      </x:c>
      <x:c r="E31" s="4" t="s">
        <x:v>31</x:v>
      </x:c>
      <x:c r="F31" s="1"/>
      <x:c r="G31" s="1"/>
      <x:c r="H31" s="1"/>
      <x:c r="I31" s="1"/>
      <x:c r="J31" s="1"/>
      <x:c r="K31" s="1"/>
      <x:c r="L31" s="1"/>
    </x:row>
    <x:row r="32" ht="31.950000762939453" customHeight="1">
      <x:c r="A32" s="5" t="str">
        <x:v>W26</x:v>
      </x:c>
      <x:c r="B32" s="15" t="str">
        <x:f>IFERROR(INDEX('전체 체크리스트'!$E$6:$E$105,MATCH($A32,'전체 체크리스트'!$A$6:$A$105,0)),"")</x:f>
        <x:v>PR #6을 최신 main 기준으로 재작성하고 충돌·대규모 회귀 제거</x:v>
      </x:c>
      <x:c r="C32" s="15" t="str">
        <x:f>IFERROR(INDEX('전체 체크리스트'!$F$6:$F$105,MATCH($A32,'전체 체크리스트'!$A$6:$A$105,0)),"")</x:f>
        <x:v>미완료</x:v>
      </x:c>
      <x:c r="D32" s="15" t="str">
        <x:f>IFERROR(INDEX('전체 체크리스트'!$G$6:$G$105,MATCH($A32,'전체 체크리스트'!$A$6:$A$105,0)),"")</x:f>
        <x:v>Codex</x:v>
      </x:c>
      <x:c r="E32" s="16" t="str">
        <x:f>IFERROR(INDEX('전체 체크리스트'!$I$6:$I$105,MATCH($A32,'전체 체크리스트'!$A$6:$A$105,0)),"")</x:f>
        <x:v>현재 PR #6은 DRAFT·CONFLICTING이며 main의 가격/크레딧 구현을 대량 제거</x:v>
      </x:c>
      <x:c r="F32" s="1"/>
      <x:c r="G32" s="1"/>
      <x:c r="H32" s="1"/>
      <x:c r="I32" s="1"/>
      <x:c r="J32" s="1"/>
      <x:c r="K32" s="1"/>
      <x:c r="L32" s="1"/>
    </x:row>
    <x:row r="33" ht="31.950000762939453" customHeight="1">
      <x:c r="A33" s="5" t="str">
        <x:v>W03</x:v>
      </x:c>
      <x:c r="B33" s="15" t="str">
        <x:f>IFERROR(INDEX('전체 체크리스트'!$E$6:$E$105,MATCH($A33,'전체 체크리스트'!$A$6:$A$105,0)),"")</x:f>
        <x:v>운영에서 실제 AI 계획 생성 성공 확인</x:v>
      </x:c>
      <x:c r="C33" s="15" t="str">
        <x:f>IFERROR(INDEX('전체 체크리스트'!$F$6:$F$105,MATCH($A33,'전체 체크리스트'!$A$6:$A$105,0)),"")</x:f>
        <x:v>확인 필요</x:v>
      </x:c>
      <x:c r="D33" s="15" t="str">
        <x:f>IFERROR(INDEX('전체 체크리스트'!$G$6:$G$105,MATCH($A33,'전체 체크리스트'!$A$6:$A$105,0)),"")</x:f>
        <x:v>사용자 QA</x:v>
      </x:c>
      <x:c r="E33" s="16" t="str">
        <x:f>IFERROR(INDEX('전체 체크리스트'!$I$6:$I$105,MATCH($A33,'전체 체크리스트'!$A$6:$A$105,0)),"")</x:f>
        <x:v>운영 health는 AI 준비=true · 실제 Google 계정의 AI 계획 생성은 수동 확인 필요</x:v>
      </x:c>
      <x:c r="F33" s="1"/>
      <x:c r="G33" s="1"/>
      <x:c r="H33" s="1"/>
      <x:c r="I33" s="1"/>
      <x:c r="J33" s="1"/>
      <x:c r="K33" s="1"/>
      <x:c r="L33" s="1"/>
    </x:row>
    <x:row r="34" ht="31.950000762939453" customHeight="1">
      <x:c r="A34" s="5" t="str">
        <x:v>W05</x:v>
      </x:c>
      <x:c r="B34" s="15" t="str">
        <x:f>IFERROR(INDEX('전체 체크리스트'!$E$6:$E$105,MATCH($A34,'전체 체크리스트'!$A$6:$A$105,0)),"")</x:f>
        <x:v>계정 A/B 수동 데이터 격리 검증</x:v>
      </x:c>
      <x:c r="C34" s="15" t="str">
        <x:f>IFERROR(INDEX('전체 체크리스트'!$F$6:$F$105,MATCH($A34,'전체 체크리스트'!$A$6:$A$105,0)),"")</x:f>
        <x:v>진행 중</x:v>
      </x:c>
      <x:c r="D34" s="15" t="str">
        <x:f>IFERROR(INDEX('전체 체크리스트'!$G$6:$G$105,MATCH($A34,'전체 체크리스트'!$A$6:$A$105,0)),"")</x:f>
        <x:v>사용자 QA</x:v>
      </x:c>
      <x:c r="E34" s="16" t="str">
        <x:f>IFERROR(INDEX('전체 체크리스트'!$I$6:$I$105,MATCH($A34,'전체 체크리스트'!$A$6:$A$105,0)),"")</x:f>
        <x:v>자동 교차계정 E2E는 통과 · 실제 계정 A/B 수동 검증 필요</x:v>
      </x:c>
      <x:c r="F34" s="1"/>
      <x:c r="G34" s="1"/>
      <x:c r="H34" s="1"/>
      <x:c r="I34" s="1"/>
      <x:c r="J34" s="1"/>
      <x:c r="K34" s="1"/>
      <x:c r="L34" s="1"/>
    </x:row>
    <x:row r="35" ht="31.950000762939453" customHeight="1">
      <x:c r="A35" s="5" t="str">
        <x:v>W10</x:v>
      </x:c>
      <x:c r="B35" s="15" t="str">
        <x:f>IFERROR(INDEX('전체 체크리스트'!$E$6:$E$105,MATCH($A35,'전체 체크리스트'!$A$6:$A$105,0)),"")</x:f>
        <x:v>오래된 tombstone을 이용한 Cron 영구 삭제 검증</x:v>
      </x:c>
      <x:c r="C35" s="15" t="str">
        <x:f>IFERROR(INDEX('전체 체크리스트'!$F$6:$F$105,MATCH($A35,'전체 체크리스트'!$A$6:$A$105,0)),"")</x:f>
        <x:v>진행 중</x:v>
      </x:c>
      <x:c r="D35" s="15" t="str">
        <x:f>IFERROR(INDEX('전체 체크리스트'!$G$6:$G$105,MATCH($A35,'전체 체크리스트'!$A$6:$A$105,0)),"")</x:f>
        <x:v>운영자</x:v>
      </x:c>
      <x:c r="E35" s="16" t="str">
        <x:f>IFERROR(INDEX('전체 체크리스트'!$I$6:$I$105,MATCH($A35,'전체 체크리스트'!$A$6:$A$105,0)),"")</x:f>
        <x:v>purge 코드·자동화 테스트 완료 · 운영 Cron의 실제 영구 삭제 기록 확인 필요</x:v>
      </x:c>
      <x:c r="F35" s="1"/>
      <x:c r="G35" s="1"/>
      <x:c r="H35" s="1"/>
      <x:c r="I35" s="1"/>
      <x:c r="J35" s="1"/>
      <x:c r="K35" s="1"/>
      <x:c r="L35" s="1"/>
    </x:row>
    <x:row r="36" ht="31.950000762939453" customHeight="1">
      <x:c r="A36" s="5" t="str">
        <x:v>W11</x:v>
      </x:c>
      <x:c r="B36" s="15" t="str">
        <x:f>IFERROR(INDEX('전체 체크리스트'!$E$6:$E$105,MATCH($A36,'전체 체크리스트'!$A$6:$A$105,0)),"")</x:f>
        <x:v>미검증 Kakao 로그인 버튼 숨김</x:v>
      </x:c>
      <x:c r="C36" s="15" t="str">
        <x:f>IFERROR(INDEX('전체 체크리스트'!$F$6:$F$105,MATCH($A36,'전체 체크리스트'!$A$6:$A$105,0)),"")</x:f>
        <x:v>미완료</x:v>
      </x:c>
      <x:c r="D36" s="15" t="str">
        <x:f>IFERROR(INDEX('전체 체크리스트'!$G$6:$G$105,MATCH($A36,'전체 체크리스트'!$A$6:$A$105,0)),"")</x:f>
        <x:v>Codex</x:v>
      </x:c>
      <x:c r="E36" s="16" t="str">
        <x:f>IFERROR(INDEX('전체 체크리스트'!$I$6:$I$105,MATCH($A36,'전체 체크리스트'!$A$6:$A$105,0)),"")</x:f>
        <x:v>현재는 미설정 Provider 버튼을 숨기지 않고 클릭 후 오류 안내 · UI 수정 필요</x:v>
      </x:c>
      <x:c r="F36" s="1"/>
      <x:c r="G36" s="1"/>
      <x:c r="H36" s="1"/>
      <x:c r="I36" s="1"/>
      <x:c r="J36" s="1"/>
      <x:c r="K36" s="1"/>
      <x:c r="L36" s="1"/>
    </x:row>
    <x:row r="37" ht="31.950000762939453" customHeight="1">
      <x:c r="A37" s="5" t="str">
        <x:v>W20</x:v>
      </x:c>
      <x:c r="B37" s="15" t="str">
        <x:f>IFERROR(INDEX('전체 체크리스트'!$E$6:$E$105,MATCH($A37,'전체 체크리스트'!$A$6:$A$105,0)),"")</x:f>
        <x:v>홈페이지와 /api/health 장애 감시 설정</x:v>
      </x:c>
      <x:c r="C37" s="15" t="str">
        <x:f>IFERROR(INDEX('전체 체크리스트'!$F$6:$F$105,MATCH($A37,'전체 체크리스트'!$A$6:$A$105,0)),"")</x:f>
        <x:v>확인 필요</x:v>
      </x:c>
      <x:c r="D37" s="15" t="str">
        <x:f>IFERROR(INDEX('전체 체크리스트'!$G$6:$G$105,MATCH($A37,'전체 체크리스트'!$A$6:$A$105,0)),"")</x:f>
        <x:v>운영자</x:v>
      </x:c>
      <x:c r="E37" s="16" t="str">
        <x:f>IFERROR(INDEX('전체 체크리스트'!$I$6:$I$105,MATCH($A37,'전체 체크리스트'!$A$6:$A$105,0)),"")</x:f>
        <x:v>저장소·GitHub Actions에서는 외부 uptime monitor 설정을 확인할 수 없음</x:v>
      </x:c>
      <x:c r="F37" s="1"/>
      <x:c r="G37" s="1"/>
      <x:c r="H37" s="1"/>
      <x:c r="I37" s="1"/>
      <x:c r="J37" s="1"/>
      <x:c r="K37" s="1"/>
      <x:c r="L37" s="1"/>
    </x:row>
    <x:row r="38" ht="31.950000762939453" customHeight="1">
      <x:c r="A38" s="5" t="str">
        <x:v>W21</x:v>
      </x:c>
      <x:c r="B38" s="15" t="str">
        <x:f>IFERROR(INDEX('전체 체크리스트'!$E$6:$E$105,MATCH($A38,'전체 체크리스트'!$A$6:$A$105,0)),"")</x:f>
        <x:v>OAuth·AI 429·5xx·Worker·Cron 오류 알림</x:v>
      </x:c>
      <x:c r="C38" s="15" t="str">
        <x:f>IFERROR(INDEX('전체 체크리스트'!$F$6:$F$105,MATCH($A38,'전체 체크리스트'!$A$6:$A$105,0)),"")</x:f>
        <x:v>확인 필요</x:v>
      </x:c>
      <x:c r="D38" s="15" t="str">
        <x:f>IFERROR(INDEX('전체 체크리스트'!$G$6:$G$105,MATCH($A38,'전체 체크리스트'!$A$6:$A$105,0)),"")</x:f>
        <x:v>운영자</x:v>
      </x:c>
      <x:c r="E38" s="16" t="str">
        <x:f>IFERROR(INDEX('전체 체크리스트'!$I$6:$I$105,MATCH($A38,'전체 체크리스트'!$A$6:$A$105,0)),"")</x:f>
        <x:v>OAuth·AI·Worker·Cron 알림 규칙은 Cloudflare/모니터링 서비스에서 확인 필요</x:v>
      </x:c>
      <x:c r="F38" s="1"/>
      <x:c r="G38" s="1"/>
      <x:c r="H38" s="1"/>
      <x:c r="I38" s="1"/>
      <x:c r="J38" s="1"/>
      <x:c r="K38" s="1"/>
      <x:c r="L38" s="1"/>
    </x:row>
    <x:row r="39" ht="31.950000762939453" customHeight="1">
      <x:c r="A39" s="9" t="str">
        <x:v>W24</x:v>
      </x:c>
      <x:c r="B39" s="17" t="str">
        <x:f>IFERROR(INDEX('전체 체크리스트'!$E$6:$E$105,MATCH($A39,'전체 체크리스트'!$A$6:$A$105,0)),"")</x:f>
        <x:v>운영 도메인 최종 smoke test 및 치명적 버그 0건</x:v>
      </x:c>
      <x:c r="C39" s="17" t="str">
        <x:f>IFERROR(INDEX('전체 체크리스트'!$F$6:$F$105,MATCH($A39,'전체 체크리스트'!$A$6:$A$105,0)),"")</x:f>
        <x:v>진행 중</x:v>
      </x:c>
      <x:c r="D39" s="17" t="str">
        <x:f>IFERROR(INDEX('전체 체크리스트'!$G$6:$G$105,MATCH($A39,'전체 체크리스트'!$A$6:$A$105,0)),"")</x:f>
        <x:v>사용자 QA</x:v>
      </x:c>
      <x:c r="E39" s="18" t="str">
        <x:f>IFERROR(INDEX('전체 체크리스트'!$I$6:$I$105,MATCH($A39,'전체 체크리스트'!$A$6:$A$105,0)),"")</x:f>
        <x:v>Production 자동 route smoke 성공 · 실계정 로그인·실제 AI·모바일 수동 smoke 필요</x:v>
      </x:c>
      <x:c r="F39" s="1"/>
      <x:c r="G39" s="1"/>
      <x:c r="H39" s="1"/>
      <x:c r="I39" s="1"/>
      <x:c r="J39" s="1"/>
      <x:c r="K39" s="1"/>
      <x:c r="L39" s="1"/>
    </x:row>
    <x:row r="40" ht="22.049999237060547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2.049999237060547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2.049999237060547" customHeight="1">
      <x:c r="A42" s="19" t="s">
        <x:v>32</x:v>
      </x:c>
      <x:c r="B42" s="20" t="s">
        <x:v>21</x:v>
      </x:c>
      <x:c r="C42" s="1"/>
      <x:c r="D42" s="57" t="s">
        <x:v>33</x:v>
      </x:c>
      <x:c r="E42" s="58"/>
      <x:c r="F42" s="58"/>
      <x:c r="G42" s="58"/>
      <x:c r="H42" s="58"/>
      <x:c r="I42" s="58"/>
      <x:c r="J42" s="58"/>
      <x:c r="K42" s="58"/>
      <x:c r="L42" s="59"/>
    </x:row>
    <x:row r="43" ht="22.049999237060547" customHeight="1">
      <x:c r="A43" s="5" t="s">
        <x:v>10</x:v>
      </x:c>
      <x:c r="B43" s="21">
        <x:v>1</x:v>
      </x:c>
      <x:c r="C43" s="1"/>
      <x:c r="D43" s="60"/>
      <x:c r="E43" s="61"/>
      <x:c r="F43" s="61"/>
      <x:c r="G43" s="61"/>
      <x:c r="H43" s="61"/>
      <x:c r="I43" s="61"/>
      <x:c r="J43" s="61"/>
      <x:c r="K43" s="61"/>
      <x:c r="L43" s="62"/>
    </x:row>
    <x:row r="44" ht="22.049999237060547" customHeight="1">
      <x:c r="A44" s="5" t="s">
        <x:v>12</x:v>
      </x:c>
      <x:c r="B44" s="21">
        <x:v>0.5</x:v>
      </x:c>
      <x:c r="C44" s="1"/>
      <x:c r="D44" s="60"/>
      <x:c r="E44" s="61"/>
      <x:c r="F44" s="61"/>
      <x:c r="G44" s="61"/>
      <x:c r="H44" s="61"/>
      <x:c r="I44" s="61"/>
      <x:c r="J44" s="61"/>
      <x:c r="K44" s="61"/>
      <x:c r="L44" s="62"/>
    </x:row>
    <x:row r="45" ht="22.049999237060547" customHeight="1">
      <x:c r="A45" s="5" t="s">
        <x:v>14</x:v>
      </x:c>
      <x:c r="B45" s="21">
        <x:v>0</x:v>
      </x:c>
      <x:c r="C45" s="1"/>
      <x:c r="D45" s="60"/>
      <x:c r="E45" s="61"/>
      <x:c r="F45" s="61"/>
      <x:c r="G45" s="61"/>
      <x:c r="H45" s="61"/>
      <x:c r="I45" s="61"/>
      <x:c r="J45" s="61"/>
      <x:c r="K45" s="61"/>
      <x:c r="L45" s="62"/>
    </x:row>
    <x:row r="46" ht="22.049999237060547" customHeight="1">
      <x:c r="A46" s="5" t="s">
        <x:v>16</x:v>
      </x:c>
      <x:c r="B46" s="21">
        <x:v>0</x:v>
      </x:c>
      <x:c r="C46" s="1"/>
      <x:c r="D46" s="60"/>
      <x:c r="E46" s="61"/>
      <x:c r="F46" s="61"/>
      <x:c r="G46" s="61"/>
      <x:c r="H46" s="61"/>
      <x:c r="I46" s="61"/>
      <x:c r="J46" s="61"/>
      <x:c r="K46" s="61"/>
      <x:c r="L46" s="62"/>
    </x:row>
    <x:row r="47" ht="22.049999237060547" customHeight="1">
      <x:c r="A47" s="9" t="s">
        <x:v>34</x:v>
      </x:c>
      <x:c r="B47" s="22">
        <x:v>1</x:v>
      </x:c>
      <x:c r="C47" s="1"/>
      <x:c r="D47" s="63"/>
      <x:c r="E47" s="64"/>
      <x:c r="F47" s="64"/>
      <x:c r="G47" s="64"/>
      <x:c r="H47" s="64"/>
      <x:c r="I47" s="64"/>
      <x:c r="J47" s="64"/>
      <x:c r="K47" s="64"/>
      <x:c r="L47" s="65"/>
    </x:row>
  </x:sheetData>
  <x:mergeCells>
    <x:mergeCell ref="A10:L10"/>
    <x:mergeCell ref="A11:L14"/>
    <x:mergeCell ref="D42:L47"/>
    <x:mergeCell ref="A1:L2"/>
    <x:mergeCell ref="A3:L3"/>
    <x:mergeCell ref="A5:C5"/>
    <x:mergeCell ref="A6:C8"/>
    <x:mergeCell ref="D5:F5"/>
    <x:mergeCell ref="D6:F8"/>
    <x:mergeCell ref="G5:I5"/>
    <x:mergeCell ref="G6:I8"/>
    <x:mergeCell ref="J5:L5"/>
    <x:mergeCell ref="J6:L8"/>
  </x:mergeCells>
  <x:pageMargins left="0.7" right="0.7" top="0.75" bottom="0.75" header="0.3" footer="0.3"/>
  <x:drawing xmlns:r="http://schemas.openxmlformats.org/officeDocument/2006/relationships" r:id="R7e3f9aa580ab455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9" customWidth="1"/>
    <x:col min="2" max="2" width="12" customWidth="1"/>
    <x:col min="3" max="3" width="9" customWidth="1"/>
    <x:col min="4" max="4" width="14" customWidth="1"/>
    <x:col min="5" max="5" width="42" customWidth="1"/>
    <x:col min="6" max="8" width="12" customWidth="1"/>
    <x:col min="9" max="9" width="28" customWidth="1"/>
    <x:col min="10" max="10" width="42" customWidth="1"/>
    <x:col min="11" max="12" width="10" customWidth="1"/>
    <x:col min="13" max="13" width="14" customWidth="1"/>
  </x:cols>
  <x:sheetData>
    <x:row r="1" ht="30" customHeight="1">
      <x:c r="A1" s="104" t="s">
        <x:v>35</x:v>
      </x:c>
      <x:c r="B1" s="104"/>
      <x:c r="C1" s="104"/>
      <x:c r="D1" s="104"/>
      <x:c r="E1" s="104"/>
      <x:c r="F1" s="104"/>
      <x:c r="G1" s="104"/>
      <x:c r="H1" s="104"/>
      <x:c r="I1" s="104"/>
      <x:c r="J1" s="104"/>
      <x:c r="K1" s="104"/>
      <x:c r="L1" s="104"/>
      <x:c r="M1" s="104"/>
    </x:row>
    <x:row r="2" ht="30" customHeight="1">
      <x:c r="A2" s="104"/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</x:row>
    <x:row r="3" ht="17.399999618530273">
      <x:c r="A3" s="67" t="s">
        <x:v>36</x:v>
      </x:c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</x:row>
    <x:row r="4" ht="17.399999618530273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4.04999923706055" customHeight="1">
      <x:c r="A5" s="23" t="s">
        <x:v>37</x:v>
      </x:c>
      <x:c r="B5" s="24" t="s">
        <x:v>38</x:v>
      </x:c>
      <x:c r="C5" s="24" t="s">
        <x:v>39</x:v>
      </x:c>
      <x:c r="D5" s="24" t="s">
        <x:v>40</x:v>
      </x:c>
      <x:c r="E5" s="24" t="s">
        <x:v>29</x:v>
      </x:c>
      <x:c r="F5" s="24" t="s">
        <x:v>6</x:v>
      </x:c>
      <x:c r="G5" s="24" t="s">
        <x:v>30</x:v>
      </x:c>
      <x:c r="H5" s="24" t="s">
        <x:v>41</x:v>
      </x:c>
      <x:c r="I5" s="24" t="s">
        <x:v>31</x:v>
      </x:c>
      <x:c r="J5" s="24" t="s">
        <x:v>42</x:v>
      </x:c>
      <x:c r="K5" s="24" t="s">
        <x:v>21</x:v>
      </x:c>
      <x:c r="L5" s="24" t="s">
        <x:v>18</x:v>
      </x:c>
      <x:c r="M5" s="25" t="s">
        <x:v>43</x:v>
      </x:c>
    </x:row>
    <x:row r="6" ht="34.04999923706055" customHeight="1">
      <x:c r="A6" s="26" t="s">
        <x:v>44</x:v>
      </x:c>
      <x:c r="B6" s="27" t="s">
        <x:v>23</x:v>
      </x:c>
      <x:c r="C6" s="27" t="s">
        <x:v>45</x:v>
      </x:c>
      <x:c r="D6" s="27" t="s">
        <x:v>46</x:v>
      </x:c>
      <x:c r="E6" s="28" t="s">
        <x:v>47</x:v>
      </x:c>
      <x:c r="F6" s="29" t="s">
        <x:v>10</x:v>
      </x:c>
      <x:c r="G6" s="29"/>
      <x:c r="H6" s="30">
        <x:v>46218</x:v>
      </x:c>
      <x:c r="I6" s="28" t="s">
        <x:v>48</x:v>
      </x:c>
      <x:c r="J6" s="28" t="s">
        <x:v>49</x:v>
      </x:c>
      <x:c r="K6" s="31" t="n">
        <x:f>IFERROR(INDEX('대시보드'!$B$43:$B$47,MATCH(F6,'대시보드'!$A$43:$A$47,0)),0)</x:f>
        <x:v>1</x:v>
      </x:c>
      <x:c r="L6" s="27" t="str">
        <x:f t="shared" ref="L6:L37" si="0">IF(AND(C6="P0",F6&lt;&gt;"완료",F6&lt;&gt;"해당 없음"),"차단","")</x:f>
      </x:c>
      <x:c r="M6" s="32">
        <x:v>46218</x:v>
      </x:c>
    </x:row>
    <x:row r="7" ht="34.04999923706055" customHeight="1">
      <x:c r="A7" s="26" t="s">
        <x:v>50</x:v>
      </x:c>
      <x:c r="B7" s="27" t="s">
        <x:v>23</x:v>
      </x:c>
      <x:c r="C7" s="27" t="s">
        <x:v>45</x:v>
      </x:c>
      <x:c r="D7" s="27" t="s">
        <x:v>46</x:v>
      </x:c>
      <x:c r="E7" s="28" t="s">
        <x:v>51</x:v>
      </x:c>
      <x:c r="F7" s="29" t="s">
        <x:v>10</x:v>
      </x:c>
      <x:c r="G7" s="29"/>
      <x:c r="H7" s="30">
        <x:v>46218</x:v>
      </x:c>
      <x:c r="I7" s="28" t="s">
        <x:v>52</x:v>
      </x:c>
      <x:c r="J7" s="28" t="str">
        <x:v>https://github.com/donghun403-dotcom/on-my-way/actions/runs/29404083728</x:v>
      </x:c>
      <x:c r="K7" s="31" t="n">
        <x:f>IFERROR(INDEX('대시보드'!$B$43:$B$47,MATCH(F7,'대시보드'!$A$43:$A$47,0)),0)</x:f>
        <x:v>1</x:v>
      </x:c>
      <x:c r="L7" s="27" t="str">
        <x:f t="shared" si="0">IF(AND(C7="P0",F7&lt;&gt;"완료",F7&lt;&gt;"해당 없음"),"차단","")</x:f>
      </x:c>
      <x:c r="M7" s="32" t="n">
        <x:v>46218</x:v>
      </x:c>
    </x:row>
    <x:row r="8" ht="34.04999923706055" customHeight="1">
      <x:c r="A8" s="26" t="s">
        <x:v>53</x:v>
      </x:c>
      <x:c r="B8" s="27" t="s">
        <x:v>23</x:v>
      </x:c>
      <x:c r="C8" s="27" t="s">
        <x:v>45</x:v>
      </x:c>
      <x:c r="D8" s="27" t="s">
        <x:v>54</x:v>
      </x:c>
      <x:c r="E8" s="28" t="s">
        <x:v>55</x:v>
      </x:c>
      <x:c r="F8" s="29" t="s">
        <x:v>10</x:v>
      </x:c>
      <x:c r="G8" s="29"/>
      <x:c r="H8" s="30">
        <x:v>46218</x:v>
      </x:c>
      <x:c r="I8" s="28" t="s">
        <x:v>56</x:v>
      </x:c>
      <x:c r="J8" s="28" t="str">
        <x:v>https://github.com/donghun403-dotcom/on-my-way/actions/runs/29404083728</x:v>
      </x:c>
      <x:c r="K8" s="31" t="n">
        <x:f>IFERROR(INDEX('대시보드'!$B$43:$B$47,MATCH(F8,'대시보드'!$A$43:$A$47,0)),0)</x:f>
        <x:v>1</x:v>
      </x:c>
      <x:c r="L8" s="27" t="str">
        <x:f t="shared" si="0">IF(AND(C8="P0",F8&lt;&gt;"완료",F8&lt;&gt;"해당 없음"),"차단","")</x:f>
      </x:c>
      <x:c r="M8" s="32" t="n">
        <x:v>46218</x:v>
      </x:c>
    </x:row>
    <x:row r="9" ht="34.04999923706055" customHeight="1">
      <x:c r="A9" s="26" t="s">
        <x:v>57</x:v>
      </x:c>
      <x:c r="B9" s="27" t="s">
        <x:v>23</x:v>
      </x:c>
      <x:c r="C9" s="27" t="s">
        <x:v>45</x:v>
      </x:c>
      <x:c r="D9" s="27" t="s">
        <x:v>54</x:v>
      </x:c>
      <x:c r="E9" s="28" t="s">
        <x:v>58</x:v>
      </x:c>
      <x:c r="F9" s="29" t="s">
        <x:v>10</x:v>
      </x:c>
      <x:c r="G9" s="29"/>
      <x:c r="H9" s="30">
        <x:v>46218</x:v>
      </x:c>
      <x:c r="I9" s="28" t="s">
        <x:v>59</x:v>
      </x:c>
      <x:c r="J9" s="28" t="str">
        <x:v>https://github.com/donghun403-dotcom/on-my-way/actions/runs/29404083728</x:v>
      </x:c>
      <x:c r="K9" s="31" t="n">
        <x:f>IFERROR(INDEX('대시보드'!$B$43:$B$47,MATCH(F9,'대시보드'!$A$43:$A$47,0)),0)</x:f>
        <x:v>1</x:v>
      </x:c>
      <x:c r="L9" s="27" t="str">
        <x:f t="shared" si="0">IF(AND(C9="P0",F9&lt;&gt;"완료",F9&lt;&gt;"해당 없음"),"차단","")</x:f>
      </x:c>
      <x:c r="M9" s="32" t="n">
        <x:v>46218</x:v>
      </x:c>
    </x:row>
    <x:row r="10" ht="34.04999923706055" customHeight="1">
      <x:c r="A10" s="26" t="s">
        <x:v>60</x:v>
      </x:c>
      <x:c r="B10" s="27" t="s">
        <x:v>23</x:v>
      </x:c>
      <x:c r="C10" s="27" t="s">
        <x:v>45</x:v>
      </x:c>
      <x:c r="D10" s="27" t="s">
        <x:v>61</x:v>
      </x:c>
      <x:c r="E10" s="28" t="s">
        <x:v>62</x:v>
      </x:c>
      <x:c r="F10" s="29" t="s">
        <x:v>10</x:v>
      </x:c>
      <x:c r="G10" s="29"/>
      <x:c r="H10" s="30">
        <x:v>46218</x:v>
      </x:c>
      <x:c r="I10" s="28" t="s">
        <x:v>63</x:v>
      </x:c>
      <x:c r="J10" s="28" t="str">
        <x:v>https://github.com/donghun403-dotcom/on-my-way/actions/runs/29404083728</x:v>
      </x:c>
      <x:c r="K10" s="31" t="n">
        <x:f>IFERROR(INDEX('대시보드'!$B$43:$B$47,MATCH(F10,'대시보드'!$A$43:$A$47,0)),0)</x:f>
        <x:v>1</x:v>
      </x:c>
      <x:c r="L10" s="27" t="str">
        <x:f t="shared" si="0">IF(AND(C10="P0",F10&lt;&gt;"완료",F10&lt;&gt;"해당 없음"),"차단","")</x:f>
      </x:c>
      <x:c r="M10" s="32" t="n">
        <x:v>46218</x:v>
      </x:c>
    </x:row>
    <x:row r="11" ht="34.04999923706055" customHeight="1">
      <x:c r="A11" s="26" t="s">
        <x:v>64</x:v>
      </x:c>
      <x:c r="B11" s="27" t="s">
        <x:v>23</x:v>
      </x:c>
      <x:c r="C11" s="27" t="s">
        <x:v>45</x:v>
      </x:c>
      <x:c r="D11" s="27" t="s">
        <x:v>65</x:v>
      </x:c>
      <x:c r="E11" s="28" t="s">
        <x:v>66</x:v>
      </x:c>
      <x:c r="F11" s="29" t="s">
        <x:v>10</x:v>
      </x:c>
      <x:c r="G11" s="29"/>
      <x:c r="H11" s="30">
        <x:v>46218</x:v>
      </x:c>
      <x:c r="I11" s="28" t="s">
        <x:v>67</x:v>
      </x:c>
      <x:c r="J11" s="28" t="s">
        <x:v>49</x:v>
      </x:c>
      <x:c r="K11" s="31" t="n">
        <x:f>IFERROR(INDEX('대시보드'!$B$43:$B$47,MATCH(F11,'대시보드'!$A$43:$A$47,0)),0)</x:f>
        <x:v>1</x:v>
      </x:c>
      <x:c r="L11" s="27" t="str">
        <x:f t="shared" si="0">IF(AND(C11="P0",F11&lt;&gt;"완료",F11&lt;&gt;"해당 없음"),"차단","")</x:f>
      </x:c>
      <x:c r="M11" s="32">
        <x:v>46218</x:v>
      </x:c>
    </x:row>
    <x:row r="12" ht="34.04999923706055" customHeight="1">
      <x:c r="A12" s="26" t="s">
        <x:v>68</x:v>
      </x:c>
      <x:c r="B12" s="27" t="s">
        <x:v>23</x:v>
      </x:c>
      <x:c r="C12" s="27" t="s">
        <x:v>45</x:v>
      </x:c>
      <x:c r="D12" s="27" t="s">
        <x:v>69</x:v>
      </x:c>
      <x:c r="E12" s="28" t="s">
        <x:v>70</x:v>
      </x:c>
      <x:c r="F12" s="29" t="s">
        <x:v>10</x:v>
      </x:c>
      <x:c r="G12" s="29"/>
      <x:c r="H12" s="30">
        <x:v>46218</x:v>
      </x:c>
      <x:c r="I12" s="28" t="s">
        <x:v>71</x:v>
      </x:c>
      <x:c r="J12" s="28" t="s">
        <x:v>49</x:v>
      </x:c>
      <x:c r="K12" s="31" t="n">
        <x:f>IFERROR(INDEX('대시보드'!$B$43:$B$47,MATCH(F12,'대시보드'!$A$43:$A$47,0)),0)</x:f>
        <x:v>1</x:v>
      </x:c>
      <x:c r="L12" s="27" t="str">
        <x:f t="shared" si="0">IF(AND(C12="P0",F12&lt;&gt;"완료",F12&lt;&gt;"해당 없음"),"차단","")</x:f>
      </x:c>
      <x:c r="M12" s="32">
        <x:v>46218</x:v>
      </x:c>
    </x:row>
    <x:row r="13" ht="34.04999923706055" customHeight="1">
      <x:c r="A13" s="26" t="s">
        <x:v>72</x:v>
      </x:c>
      <x:c r="B13" s="27" t="s">
        <x:v>23</x:v>
      </x:c>
      <x:c r="C13" s="27" t="s">
        <x:v>45</x:v>
      </x:c>
      <x:c r="D13" s="27" t="s">
        <x:v>73</x:v>
      </x:c>
      <x:c r="E13" s="28" t="s">
        <x:v>74</x:v>
      </x:c>
      <x:c r="F13" s="29" t="s">
        <x:v>10</x:v>
      </x:c>
      <x:c r="G13" s="29"/>
      <x:c r="H13" s="30">
        <x:v>46218</x:v>
      </x:c>
      <x:c r="I13" s="28" t="s">
        <x:v>75</x:v>
      </x:c>
      <x:c r="J13" s="28" t="s">
        <x:v>76</x:v>
      </x:c>
      <x:c r="K13" s="31" t="n">
        <x:f>IFERROR(INDEX('대시보드'!$B$43:$B$47,MATCH(F13,'대시보드'!$A$43:$A$47,0)),0)</x:f>
        <x:v>1</x:v>
      </x:c>
      <x:c r="L13" s="27" t="str">
        <x:f t="shared" si="0">IF(AND(C13="P0",F13&lt;&gt;"완료",F13&lt;&gt;"해당 없음"),"차단","")</x:f>
      </x:c>
      <x:c r="M13" s="32">
        <x:v>46218</x:v>
      </x:c>
    </x:row>
    <x:row r="14" ht="34.04999923706055" customHeight="1">
      <x:c r="A14" s="26" t="s">
        <x:v>77</x:v>
      </x:c>
      <x:c r="B14" s="27" t="s">
        <x:v>23</x:v>
      </x:c>
      <x:c r="C14" s="27" t="s">
        <x:v>45</x:v>
      </x:c>
      <x:c r="D14" s="27" t="s">
        <x:v>78</x:v>
      </x:c>
      <x:c r="E14" s="28" t="s">
        <x:v>79</x:v>
      </x:c>
      <x:c r="F14" s="29" t="s">
        <x:v>10</x:v>
      </x:c>
      <x:c r="G14" s="29"/>
      <x:c r="H14" s="30">
        <x:v>46218</x:v>
      </x:c>
      <x:c r="I14" s="28" t="s">
        <x:v>80</x:v>
      </x:c>
      <x:c r="J14" s="28" t="s">
        <x:v>49</x:v>
      </x:c>
      <x:c r="K14" s="31" t="n">
        <x:f>IFERROR(INDEX('대시보드'!$B$43:$B$47,MATCH(F14,'대시보드'!$A$43:$A$47,0)),0)</x:f>
        <x:v>1</x:v>
      </x:c>
      <x:c r="L14" s="27" t="str">
        <x:f t="shared" si="0">IF(AND(C14="P0",F14&lt;&gt;"완료",F14&lt;&gt;"해당 없음"),"차단","")</x:f>
      </x:c>
      <x:c r="M14" s="32">
        <x:v>46218</x:v>
      </x:c>
    </x:row>
    <x:row r="15" ht="34.04999923706055" customHeight="1">
      <x:c r="A15" s="26" t="s">
        <x:v>81</x:v>
      </x:c>
      <x:c r="B15" s="27" t="s">
        <x:v>23</x:v>
      </x:c>
      <x:c r="C15" s="27" t="s">
        <x:v>45</x:v>
      </x:c>
      <x:c r="D15" s="27" t="s">
        <x:v>82</x:v>
      </x:c>
      <x:c r="E15" s="28" t="s">
        <x:v>83</x:v>
      </x:c>
      <x:c r="F15" s="29" t="s">
        <x:v>10</x:v>
      </x:c>
      <x:c r="G15" s="29"/>
      <x:c r="H15" s="30">
        <x:v>46218</x:v>
      </x:c>
      <x:c r="I15" s="28" t="s">
        <x:v>84</x:v>
      </x:c>
      <x:c r="J15" s="28" t="s">
        <x:v>85</x:v>
      </x:c>
      <x:c r="K15" s="31" t="n">
        <x:f>IFERROR(INDEX('대시보드'!$B$43:$B$47,MATCH(F15,'대시보드'!$A$43:$A$47,0)),0)</x:f>
        <x:v>1</x:v>
      </x:c>
      <x:c r="L15" s="27" t="str">
        <x:f t="shared" si="0">IF(AND(C15="P0",F15&lt;&gt;"완료",F15&lt;&gt;"해당 없음"),"차단","")</x:f>
      </x:c>
      <x:c r="M15" s="32">
        <x:v>46218</x:v>
      </x:c>
    </x:row>
    <x:row r="16" ht="34.04999923706055" customHeight="1">
      <x:c r="A16" s="26" t="s">
        <x:v>86</x:v>
      </x:c>
      <x:c r="B16" s="27" t="s">
        <x:v>23</x:v>
      </x:c>
      <x:c r="C16" s="27" t="s">
        <x:v>45</x:v>
      </x:c>
      <x:c r="D16" s="27" t="s">
        <x:v>87</x:v>
      </x:c>
      <x:c r="E16" s="28" t="s">
        <x:v>88</x:v>
      </x:c>
      <x:c r="F16" s="29" t="s">
        <x:v>10</x:v>
      </x:c>
      <x:c r="G16" s="29"/>
      <x:c r="H16" s="30">
        <x:v>46218</x:v>
      </x:c>
      <x:c r="I16" s="28" t="s">
        <x:v>89</x:v>
      </x:c>
      <x:c r="J16" s="28" t="s">
        <x:v>49</x:v>
      </x:c>
      <x:c r="K16" s="31" t="n">
        <x:f>IFERROR(INDEX('대시보드'!$B$43:$B$47,MATCH(F16,'대시보드'!$A$43:$A$47,0)),0)</x:f>
        <x:v>1</x:v>
      </x:c>
      <x:c r="L16" s="27" t="str">
        <x:f t="shared" si="0">IF(AND(C16="P0",F16&lt;&gt;"완료",F16&lt;&gt;"해당 없음"),"차단","")</x:f>
      </x:c>
      <x:c r="M16" s="32">
        <x:v>46218</x:v>
      </x:c>
    </x:row>
    <x:row r="17" ht="34.04999923706055" customHeight="1">
      <x:c r="A17" s="26" t="s">
        <x:v>90</x:v>
      </x:c>
      <x:c r="B17" s="27" t="s">
        <x:v>23</x:v>
      </x:c>
      <x:c r="C17" s="27" t="s">
        <x:v>45</x:v>
      </x:c>
      <x:c r="D17" s="27" t="s">
        <x:v>91</x:v>
      </x:c>
      <x:c r="E17" s="28" t="s">
        <x:v>92</x:v>
      </x:c>
      <x:c r="F17" s="29" t="s">
        <x:v>10</x:v>
      </x:c>
      <x:c r="G17" s="29"/>
      <x:c r="H17" s="30">
        <x:v>46218</x:v>
      </x:c>
      <x:c r="I17" s="28" t="s">
        <x:v>93</x:v>
      </x:c>
      <x:c r="J17" s="28" t="s">
        <x:v>76</x:v>
      </x:c>
      <x:c r="K17" s="31" t="n">
        <x:f>IFERROR(INDEX('대시보드'!$B$43:$B$47,MATCH(F17,'대시보드'!$A$43:$A$47,0)),0)</x:f>
        <x:v>1</x:v>
      </x:c>
      <x:c r="L17" s="27" t="str">
        <x:f t="shared" si="0">IF(AND(C17="P0",F17&lt;&gt;"완료",F17&lt;&gt;"해당 없음"),"차단","")</x:f>
      </x:c>
      <x:c r="M17" s="32">
        <x:v>46218</x:v>
      </x:c>
    </x:row>
    <x:row r="18" ht="34.04999923706055" customHeight="1">
      <x:c r="A18" s="26" t="s">
        <x:v>94</x:v>
      </x:c>
      <x:c r="B18" s="27" t="s">
        <x:v>23</x:v>
      </x:c>
      <x:c r="C18" s="27" t="s">
        <x:v>45</x:v>
      </x:c>
      <x:c r="D18" s="27" t="s">
        <x:v>95</x:v>
      </x:c>
      <x:c r="E18" s="28" t="s">
        <x:v>96</x:v>
      </x:c>
      <x:c r="F18" s="29" t="s">
        <x:v>10</x:v>
      </x:c>
      <x:c r="G18" s="29"/>
      <x:c r="H18" s="30">
        <x:v>46218</x:v>
      </x:c>
      <x:c r="I18" s="28" t="s">
        <x:v>97</x:v>
      </x:c>
      <x:c r="J18" s="28" t="s">
        <x:v>49</x:v>
      </x:c>
      <x:c r="K18" s="31" t="n">
        <x:f>IFERROR(INDEX('대시보드'!$B$43:$B$47,MATCH(F18,'대시보드'!$A$43:$A$47,0)),0)</x:f>
        <x:v>1</x:v>
      </x:c>
      <x:c r="L18" s="27" t="str">
        <x:f t="shared" si="0">IF(AND(C18="P0",F18&lt;&gt;"완료",F18&lt;&gt;"해당 없음"),"차단","")</x:f>
      </x:c>
      <x:c r="M18" s="32">
        <x:v>46218</x:v>
      </x:c>
    </x:row>
    <x:row r="19" ht="34.04999923706055" customHeight="1">
      <x:c r="A19" s="26" t="s">
        <x:v>98</x:v>
      </x:c>
      <x:c r="B19" s="27" t="s">
        <x:v>23</x:v>
      </x:c>
      <x:c r="C19" s="27" t="s">
        <x:v>45</x:v>
      </x:c>
      <x:c r="D19" s="27" t="s">
        <x:v>99</x:v>
      </x:c>
      <x:c r="E19" s="28" t="s">
        <x:v>100</x:v>
      </x:c>
      <x:c r="F19" s="29" t="s">
        <x:v>10</x:v>
      </x:c>
      <x:c r="G19" s="29"/>
      <x:c r="H19" s="30">
        <x:v>46218</x:v>
      </x:c>
      <x:c r="I19" s="28" t="s">
        <x:v>101</x:v>
      </x:c>
      <x:c r="J19" s="28" t="s">
        <x:v>49</x:v>
      </x:c>
      <x:c r="K19" s="31" t="n">
        <x:f>IFERROR(INDEX('대시보드'!$B$43:$B$47,MATCH(F19,'대시보드'!$A$43:$A$47,0)),0)</x:f>
        <x:v>1</x:v>
      </x:c>
      <x:c r="L19" s="27" t="str">
        <x:f t="shared" si="0">IF(AND(C19="P0",F19&lt;&gt;"완료",F19&lt;&gt;"해당 없음"),"차단","")</x:f>
      </x:c>
      <x:c r="M19" s="32">
        <x:v>46218</x:v>
      </x:c>
    </x:row>
    <x:row r="20" ht="34.04999923706055" customHeight="1">
      <x:c r="A20" s="26" t="s">
        <x:v>102</x:v>
      </x:c>
      <x:c r="B20" s="27" t="s">
        <x:v>23</x:v>
      </x:c>
      <x:c r="C20" s="27" t="s">
        <x:v>45</x:v>
      </x:c>
      <x:c r="D20" s="27" t="s">
        <x:v>99</x:v>
      </x:c>
      <x:c r="E20" s="28" t="s">
        <x:v>103</x:v>
      </x:c>
      <x:c r="F20" s="29" t="s">
        <x:v>10</x:v>
      </x:c>
      <x:c r="G20" s="29"/>
      <x:c r="H20" s="30">
        <x:v>46218</x:v>
      </x:c>
      <x:c r="I20" s="28" t="s">
        <x:v>104</x:v>
      </x:c>
      <x:c r="J20" s="28" t="s">
        <x:v>105</x:v>
      </x:c>
      <x:c r="K20" s="31" t="n">
        <x:f>IFERROR(INDEX('대시보드'!$B$43:$B$47,MATCH(F20,'대시보드'!$A$43:$A$47,0)),0)</x:f>
        <x:v>1</x:v>
      </x:c>
      <x:c r="L20" s="27" t="str">
        <x:f t="shared" si="0">IF(AND(C20="P0",F20&lt;&gt;"완료",F20&lt;&gt;"해당 없음"),"차단","")</x:f>
      </x:c>
      <x:c r="M20" s="32">
        <x:v>46218</x:v>
      </x:c>
    </x:row>
    <x:row r="21" ht="34.04999923706055" customHeight="1">
      <x:c r="A21" s="26" t="s">
        <x:v>106</x:v>
      </x:c>
      <x:c r="B21" s="27" t="s">
        <x:v>23</x:v>
      </x:c>
      <x:c r="C21" s="27" t="s">
        <x:v>107</x:v>
      </x:c>
      <x:c r="D21" s="27" t="s">
        <x:v>108</x:v>
      </x:c>
      <x:c r="E21" s="28" t="s">
        <x:v>109</x:v>
      </x:c>
      <x:c r="F21" s="29" t="s">
        <x:v>10</x:v>
      </x:c>
      <x:c r="G21" s="29"/>
      <x:c r="H21" s="30">
        <x:v>46217</x:v>
      </x:c>
      <x:c r="I21" s="28" t="s">
        <x:v>110</x:v>
      </x:c>
      <x:c r="J21" s="28"/>
      <x:c r="K21" s="31" t="n">
        <x:f>IFERROR(INDEX('대시보드'!$B$43:$B$47,MATCH(F21,'대시보드'!$A$43:$A$47,0)),0)</x:f>
        <x:v>1</x:v>
      </x:c>
      <x:c r="L21" s="27" t="str">
        <x:f t="shared" si="0">IF(AND(C21="P0",F21&lt;&gt;"완료",F21&lt;&gt;"해당 없음"),"차단","")</x:f>
      </x:c>
      <x:c r="M21" s="32">
        <x:v>46218</x:v>
      </x:c>
    </x:row>
    <x:row r="22" ht="34.04999923706055" customHeight="1">
      <x:c r="A22" s="26" t="s">
        <x:v>111</x:v>
      </x:c>
      <x:c r="B22" s="27" t="s">
        <x:v>24</x:v>
      </x:c>
      <x:c r="C22" s="27" t="s">
        <x:v>45</x:v>
      </x:c>
      <x:c r="D22" s="27" t="s">
        <x:v>112</x:v>
      </x:c>
      <x:c r="E22" s="28" t="s">
        <x:v>113</x:v>
      </x:c>
      <x:c r="F22" s="29" t="s">
        <x:v>10</x:v>
      </x:c>
      <x:c r="G22" s="29"/>
      <x:c r="H22" s="30"/>
      <x:c r="I22" s="28"/>
      <x:c r="J22" s="28"/>
      <x:c r="K22" s="31" t="n">
        <x:f>IFERROR(INDEX('대시보드'!$B$43:$B$47,MATCH(F22,'대시보드'!$A$43:$A$47,0)),0)</x:f>
        <x:v>1</x:v>
      </x:c>
      <x:c r="L22" s="27" t="str">
        <x:f t="shared" si="0">IF(AND(C22="P0",F22&lt;&gt;"완료",F22&lt;&gt;"해당 없음"),"차단","")</x:f>
      </x:c>
      <x:c r="M22" s="32">
        <x:v>46218</x:v>
      </x:c>
    </x:row>
    <x:row r="23" ht="34.04999923706055" customHeight="1">
      <x:c r="A23" s="26" t="s">
        <x:v>114</x:v>
      </x:c>
      <x:c r="B23" s="27" t="s">
        <x:v>24</x:v>
      </x:c>
      <x:c r="C23" s="27" t="s">
        <x:v>45</x:v>
      </x:c>
      <x:c r="D23" s="27" t="s">
        <x:v>112</x:v>
      </x:c>
      <x:c r="E23" s="28" t="s">
        <x:v>115</x:v>
      </x:c>
      <x:c r="F23" s="29" t="s">
        <x:v>10</x:v>
      </x:c>
      <x:c r="G23" s="29"/>
      <x:c r="H23" s="30"/>
      <x:c r="I23" s="28"/>
      <x:c r="J23" s="28"/>
      <x:c r="K23" s="31" t="n">
        <x:f>IFERROR(INDEX('대시보드'!$B$43:$B$47,MATCH(F23,'대시보드'!$A$43:$A$47,0)),0)</x:f>
        <x:v>1</x:v>
      </x:c>
      <x:c r="L23" s="27" t="str">
        <x:f t="shared" si="0">IF(AND(C23="P0",F23&lt;&gt;"완료",F23&lt;&gt;"해당 없음"),"차단","")</x:f>
      </x:c>
      <x:c r="M23" s="32"/>
    </x:row>
    <x:row r="24" ht="34.04999923706055" customHeight="1">
      <x:c r="A24" s="26" t="s">
        <x:v>116</x:v>
      </x:c>
      <x:c r="B24" s="27" t="s">
        <x:v>24</x:v>
      </x:c>
      <x:c r="C24" s="27" t="s">
        <x:v>45</x:v>
      </x:c>
      <x:c r="D24" s="27" t="s">
        <x:v>112</x:v>
      </x:c>
      <x:c r="E24" s="28" t="s">
        <x:v>117</x:v>
      </x:c>
      <x:c r="F24" s="29" t="str">
        <x:v>확인 필요</x:v>
      </x:c>
      <x:c r="G24" s="29" t="str">
        <x:v>사용자 QA</x:v>
      </x:c>
      <x:c r="H24" s="30"/>
      <x:c r="I24" s="28" t="str">
        <x:v>운영 health는 AI 준비=true · 실제 Google 계정의 AI 계획 생성은 수동 확인 필요</x:v>
      </x:c>
      <x:c r="J24" s="28" t="str">
        <x:v>https://github.com/donghun403-dotcom/on-my-way/actions/runs/29404083728</x:v>
      </x:c>
      <x:c r="K24" s="31" t="n">
        <x:f>IFERROR(INDEX('대시보드'!$B$43:$B$47,MATCH(F24,'대시보드'!$A$43:$A$47,0)),0)</x:f>
        <x:v>0</x:v>
      </x:c>
      <x:c r="L24" s="27" t="str">
        <x:f t="shared" si="0">IF(AND(C24="P0",F24&lt;&gt;"완료",F24&lt;&gt;"해당 없음"),"차단","")</x:f>
        <x:v>차단</x:v>
      </x:c>
      <x:c r="M24" s="32" t="n">
        <x:v>46218</x:v>
      </x:c>
    </x:row>
    <x:row r="25" ht="34.04999923706055" customHeight="1">
      <x:c r="A25" s="26" t="s">
        <x:v>118</x:v>
      </x:c>
      <x:c r="B25" s="27" t="s">
        <x:v>24</x:v>
      </x:c>
      <x:c r="C25" s="27" t="s">
        <x:v>45</x:v>
      </x:c>
      <x:c r="D25" s="27" t="s">
        <x:v>119</x:v>
      </x:c>
      <x:c r="E25" s="28" t="s">
        <x:v>120</x:v>
      </x:c>
      <x:c r="F25" s="29" t="s">
        <x:v>10</x:v>
      </x:c>
      <x:c r="G25" s="29"/>
      <x:c r="H25" s="30"/>
      <x:c r="I25" s="28"/>
      <x:c r="J25" s="28"/>
      <x:c r="K25" s="31" t="n">
        <x:f>IFERROR(INDEX('대시보드'!$B$43:$B$47,MATCH(F25,'대시보드'!$A$43:$A$47,0)),0)</x:f>
        <x:v>1</x:v>
      </x:c>
      <x:c r="L25" s="27" t="str">
        <x:f t="shared" si="0">IF(AND(C25="P0",F25&lt;&gt;"완료",F25&lt;&gt;"해당 없음"),"차단","")</x:f>
      </x:c>
      <x:c r="M25" s="32"/>
    </x:row>
    <x:row r="26" ht="34.04999923706055" customHeight="1">
      <x:c r="A26" s="26" t="s">
        <x:v>121</x:v>
      </x:c>
      <x:c r="B26" s="27" t="s">
        <x:v>24</x:v>
      </x:c>
      <x:c r="C26" s="27" t="s">
        <x:v>45</x:v>
      </x:c>
      <x:c r="D26" s="27" t="s">
        <x:v>119</x:v>
      </x:c>
      <x:c r="E26" s="28" t="s">
        <x:v>122</x:v>
      </x:c>
      <x:c r="F26" s="29" t="str">
        <x:v>진행 중</x:v>
      </x:c>
      <x:c r="G26" s="29" t="str">
        <x:v>사용자 QA</x:v>
      </x:c>
      <x:c r="H26" s="30"/>
      <x:c r="I26" s="28" t="str">
        <x:v>자동 교차계정 E2E는 통과 · 실제 계정 A/B 수동 검증 필요</x:v>
      </x:c>
      <x:c r="J26" s="28" t="str">
        <x:v>https://github.com/donghun403-dotcom/on-my-way/actions/runs/29404083728</x:v>
      </x:c>
      <x:c r="K26" s="31" t="n">
        <x:f>IFERROR(INDEX('대시보드'!$B$43:$B$47,MATCH(F26,'대시보드'!$A$43:$A$47,0)),0)</x:f>
        <x:v>0.5</x:v>
      </x:c>
      <x:c r="L26" s="27" t="str">
        <x:f t="shared" si="0">IF(AND(C26="P0",F26&lt;&gt;"완료",F26&lt;&gt;"해당 없음"),"차단","")</x:f>
        <x:v>차단</x:v>
      </x:c>
      <x:c r="M26" s="32" t="n">
        <x:v>46218</x:v>
      </x:c>
    </x:row>
    <x:row r="27" ht="34.04999923706055" customHeight="1">
      <x:c r="A27" s="26" t="s">
        <x:v>123</x:v>
      </x:c>
      <x:c r="B27" s="27" t="s">
        <x:v>24</x:v>
      </x:c>
      <x:c r="C27" s="27" t="s">
        <x:v>45</x:v>
      </x:c>
      <x:c r="D27" s="27" t="s">
        <x:v>124</x:v>
      </x:c>
      <x:c r="E27" s="28" t="s">
        <x:v>125</x:v>
      </x:c>
      <x:c r="F27" s="29" t="s">
        <x:v>10</x:v>
      </x:c>
      <x:c r="G27" s="29"/>
      <x:c r="H27" s="30"/>
      <x:c r="I27" s="28"/>
      <x:c r="J27" s="28"/>
      <x:c r="K27" s="31" t="n">
        <x:f>IFERROR(INDEX('대시보드'!$B$43:$B$47,MATCH(F27,'대시보드'!$A$43:$A$47,0)),0)</x:f>
        <x:v>1</x:v>
      </x:c>
      <x:c r="L27" s="27" t="str">
        <x:f t="shared" si="0">IF(AND(C27="P0",F27&lt;&gt;"완료",F27&lt;&gt;"해당 없음"),"차단","")</x:f>
      </x:c>
      <x:c r="M27" s="32"/>
    </x:row>
    <x:row r="28" ht="34.04999923706055" customHeight="1">
      <x:c r="A28" s="26" t="s">
        <x:v>126</x:v>
      </x:c>
      <x:c r="B28" s="27" t="s">
        <x:v>24</x:v>
      </x:c>
      <x:c r="C28" s="27" t="s">
        <x:v>45</x:v>
      </x:c>
      <x:c r="D28" s="27" t="s">
        <x:v>127</x:v>
      </x:c>
      <x:c r="E28" s="28" t="s">
        <x:v>128</x:v>
      </x:c>
      <x:c r="F28" s="29" t="s">
        <x:v>10</x:v>
      </x:c>
      <x:c r="G28" s="29"/>
      <x:c r="H28" s="30"/>
      <x:c r="I28" s="28"/>
      <x:c r="J28" s="28" t="s">
        <x:v>129</x:v>
      </x:c>
      <x:c r="K28" s="31" t="n">
        <x:f>IFERROR(INDEX('대시보드'!$B$43:$B$47,MATCH(F28,'대시보드'!$A$43:$A$47,0)),0)</x:f>
        <x:v>1</x:v>
      </x:c>
      <x:c r="L28" s="27" t="str">
        <x:f t="shared" si="0">IF(AND(C28="P0",F28&lt;&gt;"완료",F28&lt;&gt;"해당 없음"),"차단","")</x:f>
      </x:c>
      <x:c r="M28" s="32"/>
    </x:row>
    <x:row r="29" ht="34.04999923706055" customHeight="1">
      <x:c r="A29" s="26" t="s">
        <x:v>130</x:v>
      </x:c>
      <x:c r="B29" s="27" t="s">
        <x:v>24</x:v>
      </x:c>
      <x:c r="C29" s="27" t="s">
        <x:v>45</x:v>
      </x:c>
      <x:c r="D29" s="27" t="s">
        <x:v>127</x:v>
      </x:c>
      <x:c r="E29" s="28" t="s">
        <x:v>131</x:v>
      </x:c>
      <x:c r="F29" s="29" t="s">
        <x:v>10</x:v>
      </x:c>
      <x:c r="G29" s="29"/>
      <x:c r="H29" s="30"/>
      <x:c r="I29" s="28"/>
      <x:c r="J29" s="28"/>
      <x:c r="K29" s="31" t="n">
        <x:f>IFERROR(INDEX('대시보드'!$B$43:$B$47,MATCH(F29,'대시보드'!$A$43:$A$47,0)),0)</x:f>
        <x:v>1</x:v>
      </x:c>
      <x:c r="L29" s="27" t="str">
        <x:f t="shared" si="0">IF(AND(C29="P0",F29&lt;&gt;"완료",F29&lt;&gt;"해당 없음"),"차단","")</x:f>
      </x:c>
      <x:c r="M29" s="32"/>
    </x:row>
    <x:row r="30" ht="34.04999923706055" customHeight="1">
      <x:c r="A30" s="26" t="s">
        <x:v>132</x:v>
      </x:c>
      <x:c r="B30" s="27" t="s">
        <x:v>24</x:v>
      </x:c>
      <x:c r="C30" s="27" t="s">
        <x:v>45</x:v>
      </x:c>
      <x:c r="D30" s="27" t="s">
        <x:v>127</x:v>
      </x:c>
      <x:c r="E30" s="28" t="s">
        <x:v>133</x:v>
      </x:c>
      <x:c r="F30" s="29" t="s">
        <x:v>10</x:v>
      </x:c>
      <x:c r="G30" s="29"/>
      <x:c r="H30" s="30"/>
      <x:c r="I30" s="28"/>
      <x:c r="J30" s="28"/>
      <x:c r="K30" s="31" t="n">
        <x:f>IFERROR(INDEX('대시보드'!$B$43:$B$47,MATCH(F30,'대시보드'!$A$43:$A$47,0)),0)</x:f>
        <x:v>1</x:v>
      </x:c>
      <x:c r="L30" s="27" t="str">
        <x:f t="shared" si="0">IF(AND(C30="P0",F30&lt;&gt;"완료",F30&lt;&gt;"해당 없음"),"차단","")</x:f>
      </x:c>
      <x:c r="M30" s="32"/>
    </x:row>
    <x:row r="31" ht="34.04999923706055" customHeight="1">
      <x:c r="A31" s="26" t="s">
        <x:v>134</x:v>
      </x:c>
      <x:c r="B31" s="27" t="s">
        <x:v>24</x:v>
      </x:c>
      <x:c r="C31" s="27" t="s">
        <x:v>45</x:v>
      </x:c>
      <x:c r="D31" s="27" t="s">
        <x:v>127</x:v>
      </x:c>
      <x:c r="E31" s="28" t="s">
        <x:v>135</x:v>
      </x:c>
      <x:c r="F31" s="29" t="str">
        <x:v>진행 중</x:v>
      </x:c>
      <x:c r="G31" s="29" t="str">
        <x:v>운영자</x:v>
      </x:c>
      <x:c r="H31" s="30"/>
      <x:c r="I31" s="28" t="str">
        <x:v>purge 코드·자동화 테스트 완료 · 운영 Cron의 실제 영구 삭제 기록 확인 필요</x:v>
      </x:c>
      <x:c r="J31" s="28" t="str">
        <x:v>https://github.com/donghun403-dotcom/on-my-way/tree/6245a778b06ac5b4aa0273cba4a120257923cc62/auth-service.mjs</x:v>
      </x:c>
      <x:c r="K31" s="31" t="n">
        <x:f>IFERROR(INDEX('대시보드'!$B$43:$B$47,MATCH(F31,'대시보드'!$A$43:$A$47,0)),0)</x:f>
        <x:v>0.5</x:v>
      </x:c>
      <x:c r="L31" s="27" t="str">
        <x:f t="shared" si="0">IF(AND(C31="P0",F31&lt;&gt;"완료",F31&lt;&gt;"해당 없음"),"차단","")</x:f>
        <x:v>차단</x:v>
      </x:c>
      <x:c r="M31" s="32" t="n">
        <x:v>46218</x:v>
      </x:c>
    </x:row>
    <x:row r="32" ht="34.04999923706055" customHeight="1">
      <x:c r="A32" s="26" t="s">
        <x:v>136</x:v>
      </x:c>
      <x:c r="B32" s="27" t="s">
        <x:v>24</x:v>
      </x:c>
      <x:c r="C32" s="27" t="s">
        <x:v>45</x:v>
      </x:c>
      <x:c r="D32" s="27" t="s">
        <x:v>137</x:v>
      </x:c>
      <x:c r="E32" s="28" t="s">
        <x:v>138</x:v>
      </x:c>
      <x:c r="F32" s="29" t="s">
        <x:v>14</x:v>
      </x:c>
      <x:c r="G32" s="29" t="str">
        <x:v>Codex</x:v>
      </x:c>
      <x:c r="H32" s="30"/>
      <x:c r="I32" s="28" t="str">
        <x:v>현재는 미설정 Provider 버튼을 숨기지 않고 클릭 후 오류 안내 · UI 수정 필요</x:v>
      </x:c>
      <x:c r="J32" s="28" t="str">
        <x:v>https://github.com/donghun403-dotcom/on-my-way/tree/6245a778b06ac5b4aa0273cba4a120257923cc62/script.js</x:v>
      </x:c>
      <x:c r="K32" s="31" t="n">
        <x:f>IFERROR(INDEX('대시보드'!$B$43:$B$47,MATCH(F32,'대시보드'!$A$43:$A$47,0)),0)</x:f>
        <x:v>0</x:v>
      </x:c>
      <x:c r="L32" s="27" t="str">
        <x:f t="shared" si="0">IF(AND(C32="P0",F32&lt;&gt;"완료",F32&lt;&gt;"해당 없음"),"차단","")</x:f>
        <x:v>차단</x:v>
      </x:c>
      <x:c r="M32" s="32" t="n">
        <x:v>46218</x:v>
      </x:c>
    </x:row>
    <x:row r="33" ht="34.04999923706055" customHeight="1">
      <x:c r="A33" s="26" t="s">
        <x:v>139</x:v>
      </x:c>
      <x:c r="B33" s="27" t="s">
        <x:v>24</x:v>
      </x:c>
      <x:c r="C33" s="27" t="s">
        <x:v>45</x:v>
      </x:c>
      <x:c r="D33" s="27" t="s">
        <x:v>137</x:v>
      </x:c>
      <x:c r="E33" s="28" t="s">
        <x:v>140</x:v>
      </x:c>
      <x:c r="F33" s="29" t="s">
        <x:v>14</x:v>
      </x:c>
      <x:c r="G33" s="29" t="str">
        <x:v>Codex</x:v>
      </x:c>
      <x:c r="H33" s="30"/>
      <x:c r="I33" s="28" t="str">
        <x:v>현재는 미설정 Provider 버튼을 숨기지 않고 클릭 후 오류 안내 · UI 수정 필요</x:v>
      </x:c>
      <x:c r="J33" s="28" t="str">
        <x:v>https://github.com/donghun403-dotcom/on-my-way/tree/6245a778b06ac5b4aa0273cba4a120257923cc62/script.js</x:v>
      </x:c>
      <x:c r="K33" s="31" t="n">
        <x:f>IFERROR(INDEX('대시보드'!$B$43:$B$47,MATCH(F33,'대시보드'!$A$43:$A$47,0)),0)</x:f>
        <x:v>0</x:v>
      </x:c>
      <x:c r="L33" s="27" t="str">
        <x:f t="shared" si="0">IF(AND(C33="P0",F33&lt;&gt;"완료",F33&lt;&gt;"해당 없음"),"차단","")</x:f>
        <x:v>차단</x:v>
      </x:c>
      <x:c r="M33" s="32" t="n">
        <x:v>46218</x:v>
      </x:c>
    </x:row>
    <x:row r="34" ht="34.04999923706055" customHeight="1">
      <x:c r="A34" s="26" t="s">
        <x:v>141</x:v>
      </x:c>
      <x:c r="B34" s="27" t="s">
        <x:v>24</x:v>
      </x:c>
      <x:c r="C34" s="27" t="s">
        <x:v>45</x:v>
      </x:c>
      <x:c r="D34" s="27" t="s">
        <x:v>137</x:v>
      </x:c>
      <x:c r="E34" s="28" t="s">
        <x:v>142</x:v>
      </x:c>
      <x:c r="F34" s="29" t="s">
        <x:v>14</x:v>
      </x:c>
      <x:c r="G34" s="29" t="str">
        <x:v>Codex</x:v>
      </x:c>
      <x:c r="H34" s="30"/>
      <x:c r="I34" s="28" t="str">
        <x:v>현재는 미설정 Provider 버튼을 숨기지 않고 클릭 후 오류 안내 · UI 수정 필요</x:v>
      </x:c>
      <x:c r="J34" s="28" t="str">
        <x:v>https://github.com/donghun403-dotcom/on-my-way/tree/6245a778b06ac5b4aa0273cba4a120257923cc62/script.js</x:v>
      </x:c>
      <x:c r="K34" s="31" t="n">
        <x:f>IFERROR(INDEX('대시보드'!$B$43:$B$47,MATCH(F34,'대시보드'!$A$43:$A$47,0)),0)</x:f>
        <x:v>0</x:v>
      </x:c>
      <x:c r="L34" s="27" t="str">
        <x:f t="shared" si="0">IF(AND(C34="P0",F34&lt;&gt;"완료",F34&lt;&gt;"해당 없음"),"차단","")</x:f>
        <x:v>차단</x:v>
      </x:c>
      <x:c r="M34" s="32" t="n">
        <x:v>46218</x:v>
      </x:c>
    </x:row>
    <x:row r="35" ht="34.04999923706055" customHeight="1">
      <x:c r="A35" s="26" t="s">
        <x:v>143</x:v>
      </x:c>
      <x:c r="B35" s="27" t="s">
        <x:v>24</x:v>
      </x:c>
      <x:c r="C35" s="27" t="s">
        <x:v>45</x:v>
      </x:c>
      <x:c r="D35" s="27" t="s">
        <x:v>144</x:v>
      </x:c>
      <x:c r="E35" s="28" t="s">
        <x:v>145</x:v>
      </x:c>
      <x:c r="F35" s="29" t="str">
        <x:v>진행 중</x:v>
      </x:c>
      <x:c r="G35" s="29" t="str">
        <x:v>사용자 QA</x:v>
      </x:c>
      <x:c r="H35" s="30"/>
      <x:c r="I35" s="28" t="str">
        <x:v>callback URL 정리 자동 테스트 통과 · 운영 브라우저 주소창 수동 확인 필요</x:v>
      </x:c>
      <x:c r="J35" s="28" t="str">
        <x:v>https://github.com/donghun403-dotcom/on-my-way/actions/runs/29404083728</x:v>
      </x:c>
      <x:c r="K35" s="31" t="n">
        <x:f>IFERROR(INDEX('대시보드'!$B$43:$B$47,MATCH(F35,'대시보드'!$A$43:$A$47,0)),0)</x:f>
        <x:v>0.5</x:v>
      </x:c>
      <x:c r="L35" s="27" t="str">
        <x:f t="shared" si="0">IF(AND(C35="P0",F35&lt;&gt;"완료",F35&lt;&gt;"해당 없음"),"차단","")</x:f>
        <x:v>차단</x:v>
      </x:c>
      <x:c r="M35" s="32" t="n">
        <x:v>46218</x:v>
      </x:c>
    </x:row>
    <x:row r="36" ht="34.04999923706055" customHeight="1">
      <x:c r="A36" s="26" t="s">
        <x:v>146</x:v>
      </x:c>
      <x:c r="B36" s="27" t="s">
        <x:v>24</x:v>
      </x:c>
      <x:c r="C36" s="27" t="s">
        <x:v>45</x:v>
      </x:c>
      <x:c r="D36" s="27" t="s">
        <x:v>144</x:v>
      </x:c>
      <x:c r="E36" s="28" t="s">
        <x:v>147</x:v>
      </x:c>
      <x:c r="F36" s="29" t="str">
        <x:v>진행 중</x:v>
      </x:c>
      <x:c r="G36" s="29" t="str">
        <x:v>사용자 QA</x:v>
      </x:c>
      <x:c r="H36" s="30"/>
      <x:c r="I36" s="28" t="str">
        <x:v>비밀값 노출 방지 코드·테스트 존재 · 운영 DevTools Console/Network 수동 확인 필요</x:v>
      </x:c>
      <x:c r="J36" s="28" t="str">
        <x:v>https://github.com/donghun403-dotcom/on-my-way/actions/runs/29404083728</x:v>
      </x:c>
      <x:c r="K36" s="31" t="n">
        <x:f>IFERROR(INDEX('대시보드'!$B$43:$B$47,MATCH(F36,'대시보드'!$A$43:$A$47,0)),0)</x:f>
        <x:v>0.5</x:v>
      </x:c>
      <x:c r="L36" s="27" t="str">
        <x:f t="shared" si="0">IF(AND(C36="P0",F36&lt;&gt;"완료",F36&lt;&gt;"해당 없음"),"차단","")</x:f>
        <x:v>차단</x:v>
      </x:c>
      <x:c r="M36" s="32" t="n">
        <x:v>46218</x:v>
      </x:c>
    </x:row>
    <x:row r="37" ht="34.04999923706055" customHeight="1">
      <x:c r="A37" s="26" t="s">
        <x:v>148</x:v>
      </x:c>
      <x:c r="B37" s="27" t="s">
        <x:v>24</x:v>
      </x:c>
      <x:c r="C37" s="27" t="s">
        <x:v>45</x:v>
      </x:c>
      <x:c r="D37" s="27" t="s">
        <x:v>108</x:v>
      </x:c>
      <x:c r="E37" s="28" t="s">
        <x:v>149</x:v>
      </x:c>
      <x:c r="F37" s="29" t="s">
        <x:v>10</x:v>
      </x:c>
      <x:c r="G37" s="29"/>
      <x:c r="H37" s="30"/>
      <x:c r="I37" s="28"/>
      <x:c r="J37" s="28"/>
      <x:c r="K37" s="31" t="n">
        <x:f>IFERROR(INDEX('대시보드'!$B$43:$B$47,MATCH(F37,'대시보드'!$A$43:$A$47,0)),0)</x:f>
        <x:v>1</x:v>
      </x:c>
      <x:c r="L37" s="27" t="str">
        <x:f t="shared" si="0">IF(AND(C37="P0",F37&lt;&gt;"완료",F37&lt;&gt;"해당 없음"),"차단","")</x:f>
      </x:c>
      <x:c r="M37" s="32"/>
    </x:row>
    <x:row r="38" ht="34.04999923706055" customHeight="1">
      <x:c r="A38" s="26" t="s">
        <x:v>150</x:v>
      </x:c>
      <x:c r="B38" s="27" t="s">
        <x:v>24</x:v>
      </x:c>
      <x:c r="C38" s="27" t="s">
        <x:v>45</x:v>
      </x:c>
      <x:c r="D38" s="27" t="s">
        <x:v>108</x:v>
      </x:c>
      <x:c r="E38" s="28" t="s">
        <x:v>151</x:v>
      </x:c>
      <x:c r="F38" s="29" t="s">
        <x:v>10</x:v>
      </x:c>
      <x:c r="G38" s="29"/>
      <x:c r="H38" s="30"/>
      <x:c r="I38" s="28"/>
      <x:c r="J38" s="28"/>
      <x:c r="K38" s="31" t="n">
        <x:f>IFERROR(INDEX('대시보드'!$B$43:$B$47,MATCH(F38,'대시보드'!$A$43:$A$47,0)),0)</x:f>
        <x:v>1</x:v>
      </x:c>
      <x:c r="L38" s="27" t="str">
        <x:f t="shared" ref="L38:L69" si="1">IF(AND(C38="P0",F38&lt;&gt;"완료",F38&lt;&gt;"해당 없음"),"차단","")</x:f>
      </x:c>
      <x:c r="M38" s="32"/>
    </x:row>
    <x:row r="39" ht="34.04999923706055" customHeight="1">
      <x:c r="A39" s="26" t="s">
        <x:v>152</x:v>
      </x:c>
      <x:c r="B39" s="27" t="s">
        <x:v>24</x:v>
      </x:c>
      <x:c r="C39" s="27" t="s">
        <x:v>45</x:v>
      </x:c>
      <x:c r="D39" s="27" t="s">
        <x:v>108</x:v>
      </x:c>
      <x:c r="E39" s="28" t="s">
        <x:v>153</x:v>
      </x:c>
      <x:c r="F39" s="29" t="s">
        <x:v>10</x:v>
      </x:c>
      <x:c r="G39" s="29"/>
      <x:c r="H39" s="30"/>
      <x:c r="I39" s="28"/>
      <x:c r="J39" s="28"/>
      <x:c r="K39" s="31" t="n">
        <x:f>IFERROR(INDEX('대시보드'!$B$43:$B$47,MATCH(F39,'대시보드'!$A$43:$A$47,0)),0)</x:f>
        <x:v>1</x:v>
      </x:c>
      <x:c r="L39" s="27" t="str">
        <x:f t="shared" si="1">IF(AND(C39="P0",F39&lt;&gt;"완료",F39&lt;&gt;"해당 없음"),"차단","")</x:f>
      </x:c>
      <x:c r="M39" s="32"/>
    </x:row>
    <x:row r="40" ht="34.04999923706055" customHeight="1">
      <x:c r="A40" s="26" t="s">
        <x:v>154</x:v>
      </x:c>
      <x:c r="B40" s="27" t="s">
        <x:v>24</x:v>
      </x:c>
      <x:c r="C40" s="27" t="s">
        <x:v>45</x:v>
      </x:c>
      <x:c r="D40" s="27" t="s">
        <x:v>108</x:v>
      </x:c>
      <x:c r="E40" s="28" t="s">
        <x:v>155</x:v>
      </x:c>
      <x:c r="F40" s="29" t="s">
        <x:v>10</x:v>
      </x:c>
      <x:c r="G40" s="29"/>
      <x:c r="H40" s="30"/>
      <x:c r="I40" s="28"/>
      <x:c r="J40" s="28"/>
      <x:c r="K40" s="31" t="n">
        <x:f>IFERROR(INDEX('대시보드'!$B$43:$B$47,MATCH(F40,'대시보드'!$A$43:$A$47,0)),0)</x:f>
        <x:v>1</x:v>
      </x:c>
      <x:c r="L40" s="27" t="str">
        <x:f t="shared" si="1">IF(AND(C40="P0",F40&lt;&gt;"완료",F40&lt;&gt;"해당 없음"),"차단","")</x:f>
      </x:c>
      <x:c r="M40" s="32"/>
    </x:row>
    <x:row r="41" ht="34.04999923706055" customHeight="1">
      <x:c r="A41" s="26" t="s">
        <x:v>156</x:v>
      </x:c>
      <x:c r="B41" s="27" t="s">
        <x:v>24</x:v>
      </x:c>
      <x:c r="C41" s="27" t="s">
        <x:v>45</x:v>
      </x:c>
      <x:c r="D41" s="27" t="s">
        <x:v>157</x:v>
      </x:c>
      <x:c r="E41" s="28" t="s">
        <x:v>158</x:v>
      </x:c>
      <x:c r="F41" s="29" t="str">
        <x:v>확인 필요</x:v>
      </x:c>
      <x:c r="G41" s="29" t="str">
        <x:v>운영자</x:v>
      </x:c>
      <x:c r="H41" s="30"/>
      <x:c r="I41" s="28" t="str">
        <x:v>저장소·GitHub Actions에서는 외부 uptime monitor 설정을 확인할 수 없음</x:v>
      </x:c>
      <x:c r="J41" s="28" t="str">
        <x:v>https://onmyway.olivenrich.com/api/health</x:v>
      </x:c>
      <x:c r="K41" s="31" t="n">
        <x:f>IFERROR(INDEX('대시보드'!$B$43:$B$47,MATCH(F41,'대시보드'!$A$43:$A$47,0)),0)</x:f>
        <x:v>0</x:v>
      </x:c>
      <x:c r="L41" s="27" t="str">
        <x:f t="shared" si="1">IF(AND(C41="P0",F41&lt;&gt;"완료",F41&lt;&gt;"해당 없음"),"차단","")</x:f>
        <x:v>차단</x:v>
      </x:c>
      <x:c r="M41" s="32" t="n">
        <x:v>46218</x:v>
      </x:c>
    </x:row>
    <x:row r="42" ht="34.04999923706055" customHeight="1">
      <x:c r="A42" s="26" t="s">
        <x:v>159</x:v>
      </x:c>
      <x:c r="B42" s="27" t="s">
        <x:v>24</x:v>
      </x:c>
      <x:c r="C42" s="27" t="s">
        <x:v>45</x:v>
      </x:c>
      <x:c r="D42" s="27" t="s">
        <x:v>157</x:v>
      </x:c>
      <x:c r="E42" s="28" t="s">
        <x:v>160</x:v>
      </x:c>
      <x:c r="F42" s="29" t="str">
        <x:v>확인 필요</x:v>
      </x:c>
      <x:c r="G42" s="29" t="str">
        <x:v>운영자</x:v>
      </x:c>
      <x:c r="H42" s="30"/>
      <x:c r="I42" s="28" t="str">
        <x:v>OAuth·AI·Worker·Cron 알림 규칙은 Cloudflare/모니터링 서비스에서 확인 필요</x:v>
      </x:c>
      <x:c r="J42" s="28" t="str">
        <x:v>https://github.com/donghun403-dotcom/on-my-way/actions/runs/29404083728</x:v>
      </x:c>
      <x:c r="K42" s="31" t="n">
        <x:f>IFERROR(INDEX('대시보드'!$B$43:$B$47,MATCH(F42,'대시보드'!$A$43:$A$47,0)),0)</x:f>
        <x:v>0</x:v>
      </x:c>
      <x:c r="L42" s="27" t="str">
        <x:f t="shared" si="1">IF(AND(C42="P0",F42&lt;&gt;"완료",F42&lt;&gt;"해당 없음"),"차단","")</x:f>
        <x:v>차단</x:v>
      </x:c>
      <x:c r="M42" s="32" t="n">
        <x:v>46218</x:v>
      </x:c>
    </x:row>
    <x:row r="43" ht="34.04999923706055" customHeight="1">
      <x:c r="A43" s="26" t="s">
        <x:v>161</x:v>
      </x:c>
      <x:c r="B43" s="27" t="s">
        <x:v>24</x:v>
      </x:c>
      <x:c r="C43" s="27" t="s">
        <x:v>45</x:v>
      </x:c>
      <x:c r="D43" s="27" t="s">
        <x:v>61</x:v>
      </x:c>
      <x:c r="E43" s="28" t="s">
        <x:v>162</x:v>
      </x:c>
      <x:c r="F43" s="29" t="str">
        <x:v>완료</x:v>
      </x:c>
      <x:c r="G43" s="29" t="str">
        <x:v>Codex</x:v>
      </x:c>
      <x:c r="H43" s="30"/>
      <x:c r="I43" s="28" t="str">
        <x:v>배포·결제 문서에 main 전용 배포와 긴급 롤백 절차 기록</x:v>
      </x:c>
      <x:c r="J43" s="28" t="str">
        <x:v>https://github.com/donghun403-dotcom/on-my-way/blob/main/docs/deployment.md</x:v>
      </x:c>
      <x:c r="K43" s="31" t="n">
        <x:f>IFERROR(INDEX('대시보드'!$B$43:$B$47,MATCH(F43,'대시보드'!$A$43:$A$47,0)),0)</x:f>
        <x:v>1</x:v>
      </x:c>
      <x:c r="L43" s="27" t="str">
        <x:f t="shared" si="1">IF(AND(C43="P0",F43&lt;&gt;"완료",F43&lt;&gt;"해당 없음"),"차단","")</x:f>
      </x:c>
      <x:c r="M43" s="32" t="n">
        <x:v>46218</x:v>
      </x:c>
    </x:row>
    <x:row r="44" ht="34.04999923706055" customHeight="1">
      <x:c r="A44" s="26" t="s">
        <x:v>163</x:v>
      </x:c>
      <x:c r="B44" s="27" t="s">
        <x:v>24</x:v>
      </x:c>
      <x:c r="C44" s="27" t="s">
        <x:v>45</x:v>
      </x:c>
      <x:c r="D44" s="27" t="s">
        <x:v>164</x:v>
      </x:c>
      <x:c r="E44" s="28" t="s">
        <x:v>165</x:v>
      </x:c>
      <x:c r="F44" s="29" t="str">
        <x:v>진행 중</x:v>
      </x:c>
      <x:c r="G44" s="29" t="str">
        <x:v>Codex</x:v>
      </x:c>
      <x:c r="H44" s="30"/>
      <x:c r="I44" s="28" t="str">
        <x:v>auth 문서는 구현됨 · Preview URI(PR #3 고정)와 최신 정책 기준 정리 필요</x:v>
      </x:c>
      <x:c r="J44" s="28" t="str">
        <x:v>https://github.com/donghun403-dotcom/on-my-way/blob/main/docs/auth-setup.md</x:v>
      </x:c>
      <x:c r="K44" s="31" t="n">
        <x:f>IFERROR(INDEX('대시보드'!$B$43:$B$47,MATCH(F44,'대시보드'!$A$43:$A$47,0)),0)</x:f>
        <x:v>0.5</x:v>
      </x:c>
      <x:c r="L44" s="27" t="str">
        <x:f t="shared" si="1">IF(AND(C44="P0",F44&lt;&gt;"완료",F44&lt;&gt;"해당 없음"),"차단","")</x:f>
        <x:v>차단</x:v>
      </x:c>
      <x:c r="M44" s="32" t="n">
        <x:v>46218</x:v>
      </x:c>
    </x:row>
    <x:row r="45" ht="34.04999923706055" customHeight="1">
      <x:c r="A45" s="26" t="s">
        <x:v>166</x:v>
      </x:c>
      <x:c r="B45" s="27" t="s">
        <x:v>24</x:v>
      </x:c>
      <x:c r="C45" s="27" t="s">
        <x:v>45</x:v>
      </x:c>
      <x:c r="D45" s="27" t="s">
        <x:v>167</x:v>
      </x:c>
      <x:c r="E45" s="28" t="s">
        <x:v>168</x:v>
      </x:c>
      <x:c r="F45" s="29" t="str">
        <x:v>진행 중</x:v>
      </x:c>
      <x:c r="G45" s="29" t="str">
        <x:v>사용자 QA</x:v>
      </x:c>
      <x:c r="H45" s="30"/>
      <x:c r="I45" s="28" t="str">
        <x:v>Production 자동 route smoke 성공 · 실계정 로그인·실제 AI·모바일 수동 smoke 필요</x:v>
      </x:c>
      <x:c r="J45" s="28" t="str">
        <x:v>https://github.com/donghun403-dotcom/on-my-way/actions/runs/29404083728</x:v>
      </x:c>
      <x:c r="K45" s="31" t="n">
        <x:f>IFERROR(INDEX('대시보드'!$B$43:$B$47,MATCH(F45,'대시보드'!$A$43:$A$47,0)),0)</x:f>
        <x:v>0.5</x:v>
      </x:c>
      <x:c r="L45" s="27" t="str">
        <x:f t="shared" si="1">IF(AND(C45="P0",F45&lt;&gt;"완료",F45&lt;&gt;"해당 없음"),"차단","")</x:f>
        <x:v>차단</x:v>
      </x:c>
      <x:c r="M45" s="32" t="n">
        <x:v>46218</x:v>
      </x:c>
    </x:row>
    <x:row r="46" ht="34.04999923706055" customHeight="1">
      <x:c r="A46" s="26" t="s">
        <x:v>169</x:v>
      </x:c>
      <x:c r="B46" s="27" t="s">
        <x:v>24</x:v>
      </x:c>
      <x:c r="C46" s="27" t="s">
        <x:v>45</x:v>
      </x:c>
      <x:c r="D46" s="27" t="s">
        <x:v>167</x:v>
      </x:c>
      <x:c r="E46" s="28" t="s">
        <x:v>170</x:v>
      </x:c>
      <x:c r="F46" s="29" t="s">
        <x:v>14</x:v>
      </x:c>
      <x:c r="G46" s="29" t="str">
        <x:v>사용자</x:v>
      </x:c>
      <x:c r="H46" s="30"/>
      <x:c r="I46" s="28" t="str">
        <x:v>W03·W05·W10·W11~W15·W20~W24 완료 후 GO 승인</x:v>
      </x:c>
      <x:c r="J46" s="28" t="str">
        <x:v>https://github.com/donghun403-dotcom/on-my-way/pull/6</x:v>
      </x:c>
      <x:c r="K46" s="31" t="n">
        <x:f>IFERROR(INDEX('대시보드'!$B$43:$B$47,MATCH(F46,'대시보드'!$A$43:$A$47,0)),0)</x:f>
        <x:v>0</x:v>
      </x:c>
      <x:c r="L46" s="27" t="str">
        <x:f t="shared" si="1">IF(AND(C46="P0",F46&lt;&gt;"완료",F46&lt;&gt;"해당 없음"),"차단","")</x:f>
        <x:v>차단</x:v>
      </x:c>
      <x:c r="M46" s="32" t="n">
        <x:v>46218</x:v>
      </x:c>
    </x:row>
    <x:row r="47" ht="34.04999923706055" customHeight="1">
      <x:c r="A47" s="26" t="s">
        <x:v>171</x:v>
      </x:c>
      <x:c r="B47" s="27" t="s">
        <x:v>25</x:v>
      </x:c>
      <x:c r="C47" s="27" t="s">
        <x:v>45</x:v>
      </x:c>
      <x:c r="D47" s="27" t="s">
        <x:v>95</x:v>
      </x:c>
      <x:c r="E47" s="28" t="s">
        <x:v>172</x:v>
      </x:c>
      <x:c r="F47" s="29" t="s">
        <x:v>10</x:v>
      </x:c>
      <x:c r="G47" s="29"/>
      <x:c r="H47" s="30"/>
      <x:c r="I47" s="28"/>
      <x:c r="J47" s="28" t="s">
        <x:v>173</x:v>
      </x:c>
      <x:c r="K47" s="31" t="n">
        <x:f>IFERROR(INDEX('대시보드'!$B$43:$B$47,MATCH(F47,'대시보드'!$A$43:$A$47,0)),0)</x:f>
        <x:v>1</x:v>
      </x:c>
      <x:c r="L47" s="27" t="str">
        <x:f t="shared" si="1">IF(AND(C47="P0",F47&lt;&gt;"완료",F47&lt;&gt;"해당 없음"),"차단","")</x:f>
      </x:c>
      <x:c r="M47" s="32"/>
    </x:row>
    <x:row r="48" ht="34.04999923706055" customHeight="1">
      <x:c r="A48" s="26" t="s">
        <x:v>174</x:v>
      </x:c>
      <x:c r="B48" s="27" t="s">
        <x:v>25</x:v>
      </x:c>
      <x:c r="C48" s="27" t="s">
        <x:v>45</x:v>
      </x:c>
      <x:c r="D48" s="27" t="s">
        <x:v>95</x:v>
      </x:c>
      <x:c r="E48" s="28" t="s">
        <x:v>175</x:v>
      </x:c>
      <x:c r="F48" s="29" t="s">
        <x:v>14</x:v>
      </x:c>
      <x:c r="G48" s="29"/>
      <x:c r="H48" s="30"/>
      <x:c r="I48" s="28"/>
      <x:c r="J48" s="28" t="s">
        <x:v>173</x:v>
      </x:c>
      <x:c r="K48" s="31" t="n">
        <x:f>IFERROR(INDEX('대시보드'!$B$43:$B$47,MATCH(F48,'대시보드'!$A$43:$A$47,0)),0)</x:f>
        <x:v>0</x:v>
      </x:c>
      <x:c r="L48" s="27" t="str">
        <x:f t="shared" si="1">IF(AND(C48="P0",F48&lt;&gt;"완료",F48&lt;&gt;"해당 없음"),"차단","")</x:f>
        <x:v>차단</x:v>
      </x:c>
      <x:c r="M48" s="32"/>
    </x:row>
    <x:row r="49" ht="34.04999923706055" customHeight="1">
      <x:c r="A49" s="26" t="s">
        <x:v>176</x:v>
      </x:c>
      <x:c r="B49" s="27" t="s">
        <x:v>25</x:v>
      </x:c>
      <x:c r="C49" s="27" t="s">
        <x:v>45</x:v>
      </x:c>
      <x:c r="D49" s="27" t="s">
        <x:v>95</x:v>
      </x:c>
      <x:c r="E49" s="28" t="s">
        <x:v>177</x:v>
      </x:c>
      <x:c r="F49" s="29" t="s">
        <x:v>14</x:v>
      </x:c>
      <x:c r="G49" s="29"/>
      <x:c r="H49" s="30"/>
      <x:c r="I49" s="28"/>
      <x:c r="J49" s="28" t="s">
        <x:v>178</x:v>
      </x:c>
      <x:c r="K49" s="31" t="n">
        <x:f>IFERROR(INDEX('대시보드'!$B$43:$B$47,MATCH(F49,'대시보드'!$A$43:$A$47,0)),0)</x:f>
        <x:v>0</x:v>
      </x:c>
      <x:c r="L49" s="27" t="str">
        <x:f t="shared" si="1">IF(AND(C49="P0",F49&lt;&gt;"완료",F49&lt;&gt;"해당 없음"),"차단","")</x:f>
        <x:v>차단</x:v>
      </x:c>
      <x:c r="M49" s="32"/>
    </x:row>
    <x:row r="50" ht="34.04999923706055" customHeight="1">
      <x:c r="A50" s="26" t="s">
        <x:v>179</x:v>
      </x:c>
      <x:c r="B50" s="27" t="s">
        <x:v>25</x:v>
      </x:c>
      <x:c r="C50" s="27" t="s">
        <x:v>45</x:v>
      </x:c>
      <x:c r="D50" s="27" t="s">
        <x:v>95</x:v>
      </x:c>
      <x:c r="E50" s="28" t="s">
        <x:v>180</x:v>
      </x:c>
      <x:c r="F50" s="29" t="s">
        <x:v>34</x:v>
      </x:c>
      <x:c r="G50" s="29"/>
      <x:c r="H50" s="30"/>
      <x:c r="I50" s="28"/>
      <x:c r="J50" s="28" t="s">
        <x:v>181</x:v>
      </x:c>
      <x:c r="K50" s="31" t="n">
        <x:f>IFERROR(INDEX('대시보드'!$B$43:$B$47,MATCH(F50,'대시보드'!$A$43:$A$47,0)),0)</x:f>
        <x:v>1</x:v>
      </x:c>
      <x:c r="L50" s="27" t="str">
        <x:f t="shared" si="1">IF(AND(C50="P0",F50&lt;&gt;"완료",F50&lt;&gt;"해당 없음"),"차단","")</x:f>
      </x:c>
      <x:c r="M50" s="32"/>
    </x:row>
    <x:row r="51" ht="34.04999923706055" customHeight="1">
      <x:c r="A51" s="26" t="s">
        <x:v>182</x:v>
      </x:c>
      <x:c r="B51" s="27" t="s">
        <x:v>25</x:v>
      </x:c>
      <x:c r="C51" s="27" t="s">
        <x:v>45</x:v>
      </x:c>
      <x:c r="D51" s="27" t="s">
        <x:v>183</x:v>
      </x:c>
      <x:c r="E51" s="28" t="s">
        <x:v>184</x:v>
      </x:c>
      <x:c r="F51" s="29" t="s">
        <x:v>14</x:v>
      </x:c>
      <x:c r="G51" s="29"/>
      <x:c r="H51" s="30"/>
      <x:c r="I51" s="28"/>
      <x:c r="J51" s="28"/>
      <x:c r="K51" s="31" t="n">
        <x:f>IFERROR(INDEX('대시보드'!$B$43:$B$47,MATCH(F51,'대시보드'!$A$43:$A$47,0)),0)</x:f>
        <x:v>0</x:v>
      </x:c>
      <x:c r="L51" s="27" t="str">
        <x:f t="shared" si="1">IF(AND(C51="P0",F51&lt;&gt;"완료",F51&lt;&gt;"해당 없음"),"차단","")</x:f>
        <x:v>차단</x:v>
      </x:c>
      <x:c r="M51" s="32"/>
    </x:row>
    <x:row r="52" ht="34.04999923706055" customHeight="1">
      <x:c r="A52" s="26" t="s">
        <x:v>185</x:v>
      </x:c>
      <x:c r="B52" s="27" t="s">
        <x:v>25</x:v>
      </x:c>
      <x:c r="C52" s="27" t="s">
        <x:v>45</x:v>
      </x:c>
      <x:c r="D52" s="27" t="s">
        <x:v>186</x:v>
      </x:c>
      <x:c r="E52" s="28" t="s">
        <x:v>187</x:v>
      </x:c>
      <x:c r="F52" s="29" t="s">
        <x:v>14</x:v>
      </x:c>
      <x:c r="G52" s="29"/>
      <x:c r="H52" s="30"/>
      <x:c r="I52" s="28"/>
      <x:c r="J52" s="28"/>
      <x:c r="K52" s="31" t="n">
        <x:f>IFERROR(INDEX('대시보드'!$B$43:$B$47,MATCH(F52,'대시보드'!$A$43:$A$47,0)),0)</x:f>
        <x:v>0</x:v>
      </x:c>
      <x:c r="L52" s="27" t="str">
        <x:f t="shared" si="1">IF(AND(C52="P0",F52&lt;&gt;"완료",F52&lt;&gt;"해당 없음"),"차단","")</x:f>
        <x:v>차단</x:v>
      </x:c>
      <x:c r="M52" s="32"/>
    </x:row>
    <x:row r="53" ht="34.04999923706055" customHeight="1">
      <x:c r="A53" s="26" t="s">
        <x:v>188</x:v>
      </x:c>
      <x:c r="B53" s="27" t="s">
        <x:v>25</x:v>
      </x:c>
      <x:c r="C53" s="27" t="s">
        <x:v>45</x:v>
      </x:c>
      <x:c r="D53" s="27" t="s">
        <x:v>189</x:v>
      </x:c>
      <x:c r="E53" s="28" t="s">
        <x:v>190</x:v>
      </x:c>
      <x:c r="F53" s="29" t="s">
        <x:v>14</x:v>
      </x:c>
      <x:c r="G53" s="29"/>
      <x:c r="H53" s="30"/>
      <x:c r="I53" s="28"/>
      <x:c r="J53" s="28"/>
      <x:c r="K53" s="31" t="n">
        <x:f>IFERROR(INDEX('대시보드'!$B$43:$B$47,MATCH(F53,'대시보드'!$A$43:$A$47,0)),0)</x:f>
        <x:v>0</x:v>
      </x:c>
      <x:c r="L53" s="27" t="str">
        <x:f t="shared" si="1">IF(AND(C53="P0",F53&lt;&gt;"완료",F53&lt;&gt;"해당 없음"),"차단","")</x:f>
        <x:v>차단</x:v>
      </x:c>
      <x:c r="M53" s="32"/>
    </x:row>
    <x:row r="54" ht="34.04999923706055" customHeight="1">
      <x:c r="A54" s="26" t="s">
        <x:v>191</x:v>
      </x:c>
      <x:c r="B54" s="27" t="s">
        <x:v>25</x:v>
      </x:c>
      <x:c r="C54" s="27" t="s">
        <x:v>45</x:v>
      </x:c>
      <x:c r="D54" s="27" t="s">
        <x:v>192</x:v>
      </x:c>
      <x:c r="E54" s="28" t="s">
        <x:v>193</x:v>
      </x:c>
      <x:c r="F54" s="29" t="s">
        <x:v>14</x:v>
      </x:c>
      <x:c r="G54" s="29"/>
      <x:c r="H54" s="30"/>
      <x:c r="I54" s="28"/>
      <x:c r="J54" s="28"/>
      <x:c r="K54" s="31" t="n">
        <x:f>IFERROR(INDEX('대시보드'!$B$43:$B$47,MATCH(F54,'대시보드'!$A$43:$A$47,0)),0)</x:f>
        <x:v>0</x:v>
      </x:c>
      <x:c r="L54" s="27" t="str">
        <x:f t="shared" si="1">IF(AND(C54="P0",F54&lt;&gt;"완료",F54&lt;&gt;"해당 없음"),"차단","")</x:f>
        <x:v>차단</x:v>
      </x:c>
      <x:c r="M54" s="32"/>
    </x:row>
    <x:row r="55" ht="34.04999923706055" customHeight="1">
      <x:c r="A55" s="26" t="s">
        <x:v>194</x:v>
      </x:c>
      <x:c r="B55" s="27" t="s">
        <x:v>25</x:v>
      </x:c>
      <x:c r="C55" s="27" t="s">
        <x:v>45</x:v>
      </x:c>
      <x:c r="D55" s="27" t="s">
        <x:v>195</x:v>
      </x:c>
      <x:c r="E55" s="28" t="s">
        <x:v>196</x:v>
      </x:c>
      <x:c r="F55" s="29" t="s">
        <x:v>14</x:v>
      </x:c>
      <x:c r="G55" s="29"/>
      <x:c r="H55" s="30"/>
      <x:c r="I55" s="28"/>
      <x:c r="J55" s="28"/>
      <x:c r="K55" s="31" t="n">
        <x:f>IFERROR(INDEX('대시보드'!$B$43:$B$47,MATCH(F55,'대시보드'!$A$43:$A$47,0)),0)</x:f>
        <x:v>0</x:v>
      </x:c>
      <x:c r="L55" s="27" t="str">
        <x:f t="shared" si="1">IF(AND(C55="P0",F55&lt;&gt;"완료",F55&lt;&gt;"해당 없음"),"차단","")</x:f>
        <x:v>차단</x:v>
      </x:c>
      <x:c r="M55" s="32"/>
    </x:row>
    <x:row r="56" ht="34.04999923706055" customHeight="1">
      <x:c r="A56" s="26" t="s">
        <x:v>197</x:v>
      </x:c>
      <x:c r="B56" s="27" t="s">
        <x:v>25</x:v>
      </x:c>
      <x:c r="C56" s="27" t="s">
        <x:v>45</x:v>
      </x:c>
      <x:c r="D56" s="27" t="s">
        <x:v>195</x:v>
      </x:c>
      <x:c r="E56" s="28" t="s">
        <x:v>198</x:v>
      </x:c>
      <x:c r="F56" s="29" t="s">
        <x:v>14</x:v>
      </x:c>
      <x:c r="G56" s="29"/>
      <x:c r="H56" s="30"/>
      <x:c r="I56" s="28"/>
      <x:c r="J56" s="28"/>
      <x:c r="K56" s="31" t="n">
        <x:f>IFERROR(INDEX('대시보드'!$B$43:$B$47,MATCH(F56,'대시보드'!$A$43:$A$47,0)),0)</x:f>
        <x:v>0</x:v>
      </x:c>
      <x:c r="L56" s="27" t="str">
        <x:f t="shared" si="1">IF(AND(C56="P0",F56&lt;&gt;"완료",F56&lt;&gt;"해당 없음"),"차단","")</x:f>
        <x:v>차단</x:v>
      </x:c>
      <x:c r="M56" s="32"/>
    </x:row>
    <x:row r="57" ht="34.04999923706055" customHeight="1">
      <x:c r="A57" s="26" t="s">
        <x:v>199</x:v>
      </x:c>
      <x:c r="B57" s="27" t="s">
        <x:v>25</x:v>
      </x:c>
      <x:c r="C57" s="27" t="s">
        <x:v>45</x:v>
      </x:c>
      <x:c r="D57" s="27" t="s">
        <x:v>200</x:v>
      </x:c>
      <x:c r="E57" s="28" t="s">
        <x:v>201</x:v>
      </x:c>
      <x:c r="F57" s="29" t="s">
        <x:v>14</x:v>
      </x:c>
      <x:c r="G57" s="29"/>
      <x:c r="H57" s="30"/>
      <x:c r="I57" s="28"/>
      <x:c r="J57" s="28" t="s">
        <x:v>202</x:v>
      </x:c>
      <x:c r="K57" s="31" t="n">
        <x:f>IFERROR(INDEX('대시보드'!$B$43:$B$47,MATCH(F57,'대시보드'!$A$43:$A$47,0)),0)</x:f>
        <x:v>0</x:v>
      </x:c>
      <x:c r="L57" s="27" t="str">
        <x:f t="shared" si="1">IF(AND(C57="P0",F57&lt;&gt;"완료",F57&lt;&gt;"해당 없음"),"차단","")</x:f>
        <x:v>차단</x:v>
      </x:c>
      <x:c r="M57" s="32"/>
    </x:row>
    <x:row r="58" ht="34.04999923706055" customHeight="1">
      <x:c r="A58" s="26" t="s">
        <x:v>203</x:v>
      </x:c>
      <x:c r="B58" s="27" t="s">
        <x:v>25</x:v>
      </x:c>
      <x:c r="C58" s="27" t="s">
        <x:v>45</x:v>
      </x:c>
      <x:c r="D58" s="27" t="s">
        <x:v>204</x:v>
      </x:c>
      <x:c r="E58" s="28" t="s">
        <x:v>205</x:v>
      </x:c>
      <x:c r="F58" s="29" t="s">
        <x:v>14</x:v>
      </x:c>
      <x:c r="G58" s="29"/>
      <x:c r="H58" s="30"/>
      <x:c r="I58" s="28"/>
      <x:c r="J58" s="28" t="s">
        <x:v>202</x:v>
      </x:c>
      <x:c r="K58" s="31" t="n">
        <x:f>IFERROR(INDEX('대시보드'!$B$43:$B$47,MATCH(F58,'대시보드'!$A$43:$A$47,0)),0)</x:f>
        <x:v>0</x:v>
      </x:c>
      <x:c r="L58" s="27" t="str">
        <x:f t="shared" si="1">IF(AND(C58="P0",F58&lt;&gt;"완료",F58&lt;&gt;"해당 없음"),"차단","")</x:f>
        <x:v>차단</x:v>
      </x:c>
      <x:c r="M58" s="32"/>
    </x:row>
    <x:row r="59" ht="34.04999923706055" customHeight="1">
      <x:c r="A59" s="26" t="s">
        <x:v>206</x:v>
      </x:c>
      <x:c r="B59" s="27" t="s">
        <x:v>25</x:v>
      </x:c>
      <x:c r="C59" s="27" t="s">
        <x:v>45</x:v>
      </x:c>
      <x:c r="D59" s="27" t="s">
        <x:v>204</x:v>
      </x:c>
      <x:c r="E59" s="28" t="s">
        <x:v>207</x:v>
      </x:c>
      <x:c r="F59" s="29" t="s">
        <x:v>14</x:v>
      </x:c>
      <x:c r="G59" s="29"/>
      <x:c r="H59" s="30"/>
      <x:c r="I59" s="28"/>
      <x:c r="J59" s="28" t="s">
        <x:v>202</x:v>
      </x:c>
      <x:c r="K59" s="31" t="n">
        <x:f>IFERROR(INDEX('대시보드'!$B$43:$B$47,MATCH(F59,'대시보드'!$A$43:$A$47,0)),0)</x:f>
        <x:v>0</x:v>
      </x:c>
      <x:c r="L59" s="27" t="str">
        <x:f t="shared" si="1">IF(AND(C59="P0",F59&lt;&gt;"완료",F59&lt;&gt;"해당 없음"),"차단","")</x:f>
        <x:v>차단</x:v>
      </x:c>
      <x:c r="M59" s="32"/>
    </x:row>
    <x:row r="60" ht="34.04999923706055" customHeight="1">
      <x:c r="A60" s="26" t="s">
        <x:v>208</x:v>
      </x:c>
      <x:c r="B60" s="27" t="s">
        <x:v>25</x:v>
      </x:c>
      <x:c r="C60" s="27" t="s">
        <x:v>45</x:v>
      </x:c>
      <x:c r="D60" s="27" t="s">
        <x:v>209</x:v>
      </x:c>
      <x:c r="E60" s="28" t="s">
        <x:v>210</x:v>
      </x:c>
      <x:c r="F60" s="29" t="s">
        <x:v>14</x:v>
      </x:c>
      <x:c r="G60" s="29"/>
      <x:c r="H60" s="30"/>
      <x:c r="I60" s="28"/>
      <x:c r="J60" s="28"/>
      <x:c r="K60" s="31" t="n">
        <x:f>IFERROR(INDEX('대시보드'!$B$43:$B$47,MATCH(F60,'대시보드'!$A$43:$A$47,0)),0)</x:f>
        <x:v>0</x:v>
      </x:c>
      <x:c r="L60" s="27" t="str">
        <x:f t="shared" si="1">IF(AND(C60="P0",F60&lt;&gt;"완료",F60&lt;&gt;"해당 없음"),"차단","")</x:f>
        <x:v>차단</x:v>
      </x:c>
      <x:c r="M60" s="32"/>
    </x:row>
    <x:row r="61" ht="34.04999923706055" customHeight="1">
      <x:c r="A61" s="26" t="s">
        <x:v>211</x:v>
      </x:c>
      <x:c r="B61" s="27" t="s">
        <x:v>25</x:v>
      </x:c>
      <x:c r="C61" s="27" t="s">
        <x:v>45</x:v>
      </x:c>
      <x:c r="D61" s="27" t="s">
        <x:v>212</x:v>
      </x:c>
      <x:c r="E61" s="28" t="s">
        <x:v>213</x:v>
      </x:c>
      <x:c r="F61" s="29" t="s">
        <x:v>14</x:v>
      </x:c>
      <x:c r="G61" s="29"/>
      <x:c r="H61" s="30"/>
      <x:c r="I61" s="28"/>
      <x:c r="J61" s="28"/>
      <x:c r="K61" s="31" t="n">
        <x:f>IFERROR(INDEX('대시보드'!$B$43:$B$47,MATCH(F61,'대시보드'!$A$43:$A$47,0)),0)</x:f>
        <x:v>0</x:v>
      </x:c>
      <x:c r="L61" s="27" t="str">
        <x:f t="shared" si="1">IF(AND(C61="P0",F61&lt;&gt;"완료",F61&lt;&gt;"해당 없음"),"차단","")</x:f>
        <x:v>차단</x:v>
      </x:c>
      <x:c r="M61" s="32"/>
    </x:row>
    <x:row r="62" ht="34.04999923706055" customHeight="1">
      <x:c r="A62" s="26" t="s">
        <x:v>214</x:v>
      </x:c>
      <x:c r="B62" s="27" t="s">
        <x:v>25</x:v>
      </x:c>
      <x:c r="C62" s="27" t="s">
        <x:v>45</x:v>
      </x:c>
      <x:c r="D62" s="27" t="s">
        <x:v>215</x:v>
      </x:c>
      <x:c r="E62" s="28" t="s">
        <x:v>216</x:v>
      </x:c>
      <x:c r="F62" s="29" t="s">
        <x:v>14</x:v>
      </x:c>
      <x:c r="G62" s="29"/>
      <x:c r="H62" s="30"/>
      <x:c r="I62" s="28"/>
      <x:c r="J62" s="28"/>
      <x:c r="K62" s="31" t="n">
        <x:f>IFERROR(INDEX('대시보드'!$B$43:$B$47,MATCH(F62,'대시보드'!$A$43:$A$47,0)),0)</x:f>
        <x:v>0</x:v>
      </x:c>
      <x:c r="L62" s="27" t="str">
        <x:f t="shared" si="1">IF(AND(C62="P0",F62&lt;&gt;"완료",F62&lt;&gt;"해당 없음"),"차단","")</x:f>
        <x:v>차단</x:v>
      </x:c>
      <x:c r="M62" s="32"/>
    </x:row>
    <x:row r="63" ht="34.04999923706055" customHeight="1">
      <x:c r="A63" s="26" t="s">
        <x:v>217</x:v>
      </x:c>
      <x:c r="B63" s="27" t="s">
        <x:v>25</x:v>
      </x:c>
      <x:c r="C63" s="27" t="s">
        <x:v>45</x:v>
      </x:c>
      <x:c r="D63" s="27" t="s">
        <x:v>215</x:v>
      </x:c>
      <x:c r="E63" s="28" t="s">
        <x:v>218</x:v>
      </x:c>
      <x:c r="F63" s="29" t="s">
        <x:v>14</x:v>
      </x:c>
      <x:c r="G63" s="29"/>
      <x:c r="H63" s="30"/>
      <x:c r="I63" s="28"/>
      <x:c r="J63" s="28" t="s">
        <x:v>219</x:v>
      </x:c>
      <x:c r="K63" s="31" t="n">
        <x:f>IFERROR(INDEX('대시보드'!$B$43:$B$47,MATCH(F63,'대시보드'!$A$43:$A$47,0)),0)</x:f>
        <x:v>0</x:v>
      </x:c>
      <x:c r="L63" s="27" t="str">
        <x:f t="shared" si="1">IF(AND(C63="P0",F63&lt;&gt;"완료",F63&lt;&gt;"해당 없음"),"차단","")</x:f>
        <x:v>차단</x:v>
      </x:c>
      <x:c r="M63" s="32"/>
    </x:row>
    <x:row r="64" ht="34.04999923706055" customHeight="1">
      <x:c r="A64" s="26" t="s">
        <x:v>220</x:v>
      </x:c>
      <x:c r="B64" s="27" t="s">
        <x:v>25</x:v>
      </x:c>
      <x:c r="C64" s="27" t="s">
        <x:v>45</x:v>
      </x:c>
      <x:c r="D64" s="27" t="s">
        <x:v>54</x:v>
      </x:c>
      <x:c r="E64" s="28" t="s">
        <x:v>221</x:v>
      </x:c>
      <x:c r="F64" s="29" t="s">
        <x:v>14</x:v>
      </x:c>
      <x:c r="G64" s="29"/>
      <x:c r="H64" s="30"/>
      <x:c r="I64" s="28"/>
      <x:c r="J64" s="28"/>
      <x:c r="K64" s="31" t="n">
        <x:f>IFERROR(INDEX('대시보드'!$B$43:$B$47,MATCH(F64,'대시보드'!$A$43:$A$47,0)),0)</x:f>
        <x:v>0</x:v>
      </x:c>
      <x:c r="L64" s="27" t="str">
        <x:f t="shared" si="1">IF(AND(C64="P0",F64&lt;&gt;"완료",F64&lt;&gt;"해당 없음"),"차단","")</x:f>
        <x:v>차단</x:v>
      </x:c>
      <x:c r="M64" s="32"/>
    </x:row>
    <x:row r="65" ht="34.04999923706055" customHeight="1">
      <x:c r="A65" s="26" t="s">
        <x:v>222</x:v>
      </x:c>
      <x:c r="B65" s="27" t="s">
        <x:v>25</x:v>
      </x:c>
      <x:c r="C65" s="27" t="s">
        <x:v>107</x:v>
      </x:c>
      <x:c r="D65" s="27" t="s">
        <x:v>223</x:v>
      </x:c>
      <x:c r="E65" s="28" t="s">
        <x:v>224</x:v>
      </x:c>
      <x:c r="F65" s="29" t="s">
        <x:v>14</x:v>
      </x:c>
      <x:c r="G65" s="29"/>
      <x:c r="H65" s="30"/>
      <x:c r="I65" s="28"/>
      <x:c r="J65" s="28" t="s">
        <x:v>202</x:v>
      </x:c>
      <x:c r="K65" s="31" t="n">
        <x:f>IFERROR(INDEX('대시보드'!$B$43:$B$47,MATCH(F65,'대시보드'!$A$43:$A$47,0)),0)</x:f>
        <x:v>0</x:v>
      </x:c>
      <x:c r="L65" s="27" t="str">
        <x:f t="shared" si="1">IF(AND(C65="P0",F65&lt;&gt;"완료",F65&lt;&gt;"해당 없음"),"차단","")</x:f>
      </x:c>
      <x:c r="M65" s="32"/>
    </x:row>
    <x:row r="66" ht="34.04999923706055" customHeight="1">
      <x:c r="A66" s="26" t="s">
        <x:v>225</x:v>
      </x:c>
      <x:c r="B66" s="27" t="s">
        <x:v>25</x:v>
      </x:c>
      <x:c r="C66" s="27" t="s">
        <x:v>107</x:v>
      </x:c>
      <x:c r="D66" s="27" t="s">
        <x:v>226</x:v>
      </x:c>
      <x:c r="E66" s="28" t="s">
        <x:v>227</x:v>
      </x:c>
      <x:c r="F66" s="29" t="s">
        <x:v>14</x:v>
      </x:c>
      <x:c r="G66" s="29"/>
      <x:c r="H66" s="30"/>
      <x:c r="I66" s="28"/>
      <x:c r="J66" s="28"/>
      <x:c r="K66" s="31" t="n">
        <x:f>IFERROR(INDEX('대시보드'!$B$43:$B$47,MATCH(F66,'대시보드'!$A$43:$A$47,0)),0)</x:f>
        <x:v>0</x:v>
      </x:c>
      <x:c r="L66" s="27" t="str">
        <x:f t="shared" si="1">IF(AND(C66="P0",F66&lt;&gt;"완료",F66&lt;&gt;"해당 없음"),"차단","")</x:f>
      </x:c>
      <x:c r="M66" s="32"/>
    </x:row>
    <x:row r="67" ht="34.04999923706055" customHeight="1">
      <x:c r="A67" s="26" t="s">
        <x:v>228</x:v>
      </x:c>
      <x:c r="B67" s="27" t="s">
        <x:v>25</x:v>
      </x:c>
      <x:c r="C67" s="27" t="s">
        <x:v>107</x:v>
      </x:c>
      <x:c r="D67" s="27" t="s">
        <x:v>226</x:v>
      </x:c>
      <x:c r="E67" s="28" t="s">
        <x:v>229</x:v>
      </x:c>
      <x:c r="F67" s="29" t="s">
        <x:v>14</x:v>
      </x:c>
      <x:c r="G67" s="29"/>
      <x:c r="H67" s="30"/>
      <x:c r="I67" s="28"/>
      <x:c r="J67" s="28"/>
      <x:c r="K67" s="31" t="n">
        <x:f>IFERROR(INDEX('대시보드'!$B$43:$B$47,MATCH(F67,'대시보드'!$A$43:$A$47,0)),0)</x:f>
        <x:v>0</x:v>
      </x:c>
      <x:c r="L67" s="27" t="str">
        <x:f t="shared" si="1">IF(AND(C67="P0",F67&lt;&gt;"완료",F67&lt;&gt;"해당 없음"),"차단","")</x:f>
      </x:c>
      <x:c r="M67" s="32"/>
    </x:row>
    <x:row r="68" ht="34.04999923706055" customHeight="1">
      <x:c r="A68" s="26" t="s">
        <x:v>230</x:v>
      </x:c>
      <x:c r="B68" s="27" t="s">
        <x:v>25</x:v>
      </x:c>
      <x:c r="C68" s="27" t="s">
        <x:v>107</x:v>
      </x:c>
      <x:c r="D68" s="27" t="s">
        <x:v>231</x:v>
      </x:c>
      <x:c r="E68" s="28" t="s">
        <x:v>232</x:v>
      </x:c>
      <x:c r="F68" s="29" t="s">
        <x:v>14</x:v>
      </x:c>
      <x:c r="G68" s="29"/>
      <x:c r="H68" s="30"/>
      <x:c r="I68" s="28"/>
      <x:c r="J68" s="28" t="s">
        <x:v>233</x:v>
      </x:c>
      <x:c r="K68" s="31" t="n">
        <x:f>IFERROR(INDEX('대시보드'!$B$43:$B$47,MATCH(F68,'대시보드'!$A$43:$A$47,0)),0)</x:f>
        <x:v>0</x:v>
      </x:c>
      <x:c r="L68" s="27" t="str">
        <x:f t="shared" si="1">IF(AND(C68="P0",F68&lt;&gt;"완료",F68&lt;&gt;"해당 없음"),"차단","")</x:f>
      </x:c>
      <x:c r="M68" s="32"/>
    </x:row>
    <x:row r="69" ht="34.04999923706055" customHeight="1">
      <x:c r="A69" s="26" t="s">
        <x:v>234</x:v>
      </x:c>
      <x:c r="B69" s="27" t="s">
        <x:v>25</x:v>
      </x:c>
      <x:c r="C69" s="27" t="s">
        <x:v>107</x:v>
      </x:c>
      <x:c r="D69" s="27" t="s">
        <x:v>231</x:v>
      </x:c>
      <x:c r="E69" s="28" t="s">
        <x:v>235</x:v>
      </x:c>
      <x:c r="F69" s="29" t="s">
        <x:v>14</x:v>
      </x:c>
      <x:c r="G69" s="29"/>
      <x:c r="H69" s="30"/>
      <x:c r="I69" s="28"/>
      <x:c r="J69" s="28" t="s">
        <x:v>236</x:v>
      </x:c>
      <x:c r="K69" s="31" t="n">
        <x:f>IFERROR(INDEX('대시보드'!$B$43:$B$47,MATCH(F69,'대시보드'!$A$43:$A$47,0)),0)</x:f>
        <x:v>0</x:v>
      </x:c>
      <x:c r="L69" s="27" t="str">
        <x:f t="shared" si="1">IF(AND(C69="P0",F69&lt;&gt;"완료",F69&lt;&gt;"해당 없음"),"차단","")</x:f>
      </x:c>
      <x:c r="M69" s="32"/>
    </x:row>
    <x:row r="70" ht="34.04999923706055" customHeight="1">
      <x:c r="A70" s="26" t="s">
        <x:v>237</x:v>
      </x:c>
      <x:c r="B70" s="27" t="s">
        <x:v>25</x:v>
      </x:c>
      <x:c r="C70" s="27" t="s">
        <x:v>107</x:v>
      </x:c>
      <x:c r="D70" s="27" t="s">
        <x:v>223</x:v>
      </x:c>
      <x:c r="E70" s="28" t="s">
        <x:v>238</x:v>
      </x:c>
      <x:c r="F70" s="29" t="s">
        <x:v>14</x:v>
      </x:c>
      <x:c r="G70" s="29"/>
      <x:c r="H70" s="30"/>
      <x:c r="I70" s="28"/>
      <x:c r="J70" s="28"/>
      <x:c r="K70" s="31" t="n">
        <x:f>IFERROR(INDEX('대시보드'!$B$43:$B$47,MATCH(F70,'대시보드'!$A$43:$A$47,0)),0)</x:f>
        <x:v>0</x:v>
      </x:c>
      <x:c r="L70" s="27" t="str">
        <x:f t="shared" ref="L70:L87" si="2">IF(AND(C70="P0",F70&lt;&gt;"완료",F70&lt;&gt;"해당 없음"),"차단","")</x:f>
      </x:c>
      <x:c r="M70" s="32"/>
    </x:row>
    <x:row r="71" ht="34.04999923706055" customHeight="1">
      <x:c r="A71" s="26" t="s">
        <x:v>239</x:v>
      </x:c>
      <x:c r="B71" s="27" t="s">
        <x:v>26</x:v>
      </x:c>
      <x:c r="C71" s="27" t="s">
        <x:v>45</x:v>
      </x:c>
      <x:c r="D71" s="27" t="s">
        <x:v>240</x:v>
      </x:c>
      <x:c r="E71" s="28" t="s">
        <x:v>241</x:v>
      </x:c>
      <x:c r="F71" s="29" t="s">
        <x:v>16</x:v>
      </x:c>
      <x:c r="G71" s="29"/>
      <x:c r="H71" s="30"/>
      <x:c r="I71" s="28"/>
      <x:c r="J71" s="28"/>
      <x:c r="K71" s="31" t="n">
        <x:f>IFERROR(INDEX('대시보드'!$B$43:$B$47,MATCH(F71,'대시보드'!$A$43:$A$47,0)),0)</x:f>
        <x:v>0</x:v>
      </x:c>
      <x:c r="L71" s="27" t="str">
        <x:f t="shared" si="2">IF(AND(C71="P0",F71&lt;&gt;"완료",F71&lt;&gt;"해당 없음"),"차단","")</x:f>
        <x:v>차단</x:v>
      </x:c>
      <x:c r="M71" s="32"/>
    </x:row>
    <x:row r="72" ht="34.04999923706055" customHeight="1">
      <x:c r="A72" s="26" t="s">
        <x:v>242</x:v>
      </x:c>
      <x:c r="B72" s="27" t="s">
        <x:v>26</x:v>
      </x:c>
      <x:c r="C72" s="27" t="s">
        <x:v>45</x:v>
      </x:c>
      <x:c r="D72" s="27" t="s">
        <x:v>99</x:v>
      </x:c>
      <x:c r="E72" s="28" t="s">
        <x:v>243</x:v>
      </x:c>
      <x:c r="F72" s="29" t="s">
        <x:v>16</x:v>
      </x:c>
      <x:c r="G72" s="29"/>
      <x:c r="H72" s="30"/>
      <x:c r="I72" s="28"/>
      <x:c r="J72" s="28"/>
      <x:c r="K72" s="31" t="n">
        <x:f>IFERROR(INDEX('대시보드'!$B$43:$B$47,MATCH(F72,'대시보드'!$A$43:$A$47,0)),0)</x:f>
        <x:v>0</x:v>
      </x:c>
      <x:c r="L72" s="27" t="str">
        <x:f t="shared" si="2">IF(AND(C72="P0",F72&lt;&gt;"완료",F72&lt;&gt;"해당 없음"),"차단","")</x:f>
        <x:v>차단</x:v>
      </x:c>
      <x:c r="M72" s="32"/>
    </x:row>
    <x:row r="73" ht="34.04999923706055" customHeight="1">
      <x:c r="A73" s="26" t="s">
        <x:v>244</x:v>
      </x:c>
      <x:c r="B73" s="27" t="s">
        <x:v>26</x:v>
      </x:c>
      <x:c r="C73" s="27" t="s">
        <x:v>45</x:v>
      </x:c>
      <x:c r="D73" s="27" t="s">
        <x:v>91</x:v>
      </x:c>
      <x:c r="E73" s="28" t="s">
        <x:v>245</x:v>
      </x:c>
      <x:c r="F73" s="29" t="s">
        <x:v>14</x:v>
      </x:c>
      <x:c r="G73" s="29"/>
      <x:c r="H73" s="30"/>
      <x:c r="I73" s="28"/>
      <x:c r="J73" s="28"/>
      <x:c r="K73" s="31" t="n">
        <x:f>IFERROR(INDEX('대시보드'!$B$43:$B$47,MATCH(F73,'대시보드'!$A$43:$A$47,0)),0)</x:f>
        <x:v>0</x:v>
      </x:c>
      <x:c r="L73" s="27" t="str">
        <x:f t="shared" si="2">IF(AND(C73="P0",F73&lt;&gt;"완료",F73&lt;&gt;"해당 없음"),"차단","")</x:f>
        <x:v>차단</x:v>
      </x:c>
      <x:c r="M73" s="32"/>
    </x:row>
    <x:row r="74" ht="34.04999923706055" customHeight="1">
      <x:c r="A74" s="26" t="s">
        <x:v>246</x:v>
      </x:c>
      <x:c r="B74" s="27" t="s">
        <x:v>26</x:v>
      </x:c>
      <x:c r="C74" s="27" t="s">
        <x:v>45</x:v>
      </x:c>
      <x:c r="D74" s="27" t="s">
        <x:v>69</x:v>
      </x:c>
      <x:c r="E74" s="28" t="s">
        <x:v>247</x:v>
      </x:c>
      <x:c r="F74" s="29" t="s">
        <x:v>14</x:v>
      </x:c>
      <x:c r="G74" s="29"/>
      <x:c r="H74" s="30"/>
      <x:c r="I74" s="28"/>
      <x:c r="J74" s="28"/>
      <x:c r="K74" s="31" t="n">
        <x:f>IFERROR(INDEX('대시보드'!$B$43:$B$47,MATCH(F74,'대시보드'!$A$43:$A$47,0)),0)</x:f>
        <x:v>0</x:v>
      </x:c>
      <x:c r="L74" s="27" t="str">
        <x:f t="shared" si="2">IF(AND(C74="P0",F74&lt;&gt;"완료",F74&lt;&gt;"해당 없음"),"차단","")</x:f>
        <x:v>차단</x:v>
      </x:c>
      <x:c r="M74" s="32"/>
    </x:row>
    <x:row r="75" ht="34.04999923706055" customHeight="1">
      <x:c r="A75" s="26" t="s">
        <x:v>248</x:v>
      </x:c>
      <x:c r="B75" s="27" t="s">
        <x:v>26</x:v>
      </x:c>
      <x:c r="C75" s="27" t="s">
        <x:v>45</x:v>
      </x:c>
      <x:c r="D75" s="27" t="s">
        <x:v>249</x:v>
      </x:c>
      <x:c r="E75" s="28" t="s">
        <x:v>250</x:v>
      </x:c>
      <x:c r="F75" s="29" t="s">
        <x:v>14</x:v>
      </x:c>
      <x:c r="G75" s="29"/>
      <x:c r="H75" s="30"/>
      <x:c r="I75" s="28"/>
      <x:c r="J75" s="28"/>
      <x:c r="K75" s="31" t="n">
        <x:f>IFERROR(INDEX('대시보드'!$B$43:$B$47,MATCH(F75,'대시보드'!$A$43:$A$47,0)),0)</x:f>
        <x:v>0</x:v>
      </x:c>
      <x:c r="L75" s="27" t="str">
        <x:f t="shared" si="2">IF(AND(C75="P0",F75&lt;&gt;"완료",F75&lt;&gt;"해당 없음"),"차단","")</x:f>
        <x:v>차단</x:v>
      </x:c>
      <x:c r="M75" s="32"/>
    </x:row>
    <x:row r="76" ht="34.04999923706055" customHeight="1">
      <x:c r="A76" s="26" t="s">
        <x:v>251</x:v>
      </x:c>
      <x:c r="B76" s="27" t="s">
        <x:v>26</x:v>
      </x:c>
      <x:c r="C76" s="27" t="s">
        <x:v>45</x:v>
      </x:c>
      <x:c r="D76" s="27" t="s">
        <x:v>252</x:v>
      </x:c>
      <x:c r="E76" s="28" t="s">
        <x:v>253</x:v>
      </x:c>
      <x:c r="F76" s="29" t="s">
        <x:v>14</x:v>
      </x:c>
      <x:c r="G76" s="29"/>
      <x:c r="H76" s="30"/>
      <x:c r="I76" s="28"/>
      <x:c r="J76" s="28" t="s">
        <x:v>202</x:v>
      </x:c>
      <x:c r="K76" s="31" t="n">
        <x:f>IFERROR(INDEX('대시보드'!$B$43:$B$47,MATCH(F76,'대시보드'!$A$43:$A$47,0)),0)</x:f>
        <x:v>0</x:v>
      </x:c>
      <x:c r="L76" s="27" t="str">
        <x:f t="shared" si="2">IF(AND(C76="P0",F76&lt;&gt;"완료",F76&lt;&gt;"해당 없음"),"차단","")</x:f>
        <x:v>차단</x:v>
      </x:c>
      <x:c r="M76" s="32"/>
    </x:row>
    <x:row r="77" ht="34.04999923706055" customHeight="1">
      <x:c r="A77" s="26" t="s">
        <x:v>254</x:v>
      </x:c>
      <x:c r="B77" s="27" t="s">
        <x:v>26</x:v>
      </x:c>
      <x:c r="C77" s="27" t="s">
        <x:v>45</x:v>
      </x:c>
      <x:c r="D77" s="27" t="s">
        <x:v>255</x:v>
      </x:c>
      <x:c r="E77" s="28" t="s">
        <x:v>256</x:v>
      </x:c>
      <x:c r="F77" s="29" t="s">
        <x:v>14</x:v>
      </x:c>
      <x:c r="G77" s="29"/>
      <x:c r="H77" s="30"/>
      <x:c r="I77" s="28"/>
      <x:c r="J77" s="28" t="s">
        <x:v>257</x:v>
      </x:c>
      <x:c r="K77" s="31" t="n">
        <x:f>IFERROR(INDEX('대시보드'!$B$43:$B$47,MATCH(F77,'대시보드'!$A$43:$A$47,0)),0)</x:f>
        <x:v>0</x:v>
      </x:c>
      <x:c r="L77" s="27" t="str">
        <x:f t="shared" si="2">IF(AND(C77="P0",F77&lt;&gt;"완료",F77&lt;&gt;"해당 없음"),"차단","")</x:f>
        <x:v>차단</x:v>
      </x:c>
      <x:c r="M77" s="32"/>
    </x:row>
    <x:row r="78" ht="34.04999923706055" customHeight="1">
      <x:c r="A78" s="26" t="s">
        <x:v>258</x:v>
      </x:c>
      <x:c r="B78" s="27" t="s">
        <x:v>26</x:v>
      </x:c>
      <x:c r="C78" s="27" t="s">
        <x:v>45</x:v>
      </x:c>
      <x:c r="D78" s="27" t="s">
        <x:v>259</x:v>
      </x:c>
      <x:c r="E78" s="28" t="s">
        <x:v>260</x:v>
      </x:c>
      <x:c r="F78" s="29" t="s">
        <x:v>14</x:v>
      </x:c>
      <x:c r="G78" s="29"/>
      <x:c r="H78" s="30"/>
      <x:c r="I78" s="28"/>
      <x:c r="J78" s="28"/>
      <x:c r="K78" s="31" t="n">
        <x:f>IFERROR(INDEX('대시보드'!$B$43:$B$47,MATCH(F78,'대시보드'!$A$43:$A$47,0)),0)</x:f>
        <x:v>0</x:v>
      </x:c>
      <x:c r="L78" s="27" t="str">
        <x:f t="shared" si="2">IF(AND(C78="P0",F78&lt;&gt;"완료",F78&lt;&gt;"해당 없음"),"차단","")</x:f>
        <x:v>차단</x:v>
      </x:c>
      <x:c r="M78" s="32"/>
    </x:row>
    <x:row r="79" ht="34.04999923706055" customHeight="1">
      <x:c r="A79" s="26" t="s">
        <x:v>261</x:v>
      </x:c>
      <x:c r="B79" s="27" t="s">
        <x:v>26</x:v>
      </x:c>
      <x:c r="C79" s="27" t="s">
        <x:v>45</x:v>
      </x:c>
      <x:c r="D79" s="27" t="s">
        <x:v>259</x:v>
      </x:c>
      <x:c r="E79" s="28" t="s">
        <x:v>262</x:v>
      </x:c>
      <x:c r="F79" s="29" t="s">
        <x:v>14</x:v>
      </x:c>
      <x:c r="G79" s="29"/>
      <x:c r="H79" s="30"/>
      <x:c r="I79" s="28"/>
      <x:c r="J79" s="28"/>
      <x:c r="K79" s="31" t="n">
        <x:f>IFERROR(INDEX('대시보드'!$B$43:$B$47,MATCH(F79,'대시보드'!$A$43:$A$47,0)),0)</x:f>
        <x:v>0</x:v>
      </x:c>
      <x:c r="L79" s="27" t="str">
        <x:f t="shared" si="2">IF(AND(C79="P0",F79&lt;&gt;"완료",F79&lt;&gt;"해당 없음"),"차단","")</x:f>
        <x:v>차단</x:v>
      </x:c>
      <x:c r="M79" s="32"/>
    </x:row>
    <x:row r="80" ht="34.04999923706055" customHeight="1">
      <x:c r="A80" s="26" t="s">
        <x:v>263</x:v>
      </x:c>
      <x:c r="B80" s="27" t="s">
        <x:v>26</x:v>
      </x:c>
      <x:c r="C80" s="27" t="s">
        <x:v>45</x:v>
      </x:c>
      <x:c r="D80" s="27" t="s">
        <x:v>264</x:v>
      </x:c>
      <x:c r="E80" s="28" t="s">
        <x:v>265</x:v>
      </x:c>
      <x:c r="F80" s="29" t="s">
        <x:v>14</x:v>
      </x:c>
      <x:c r="G80" s="29"/>
      <x:c r="H80" s="30"/>
      <x:c r="I80" s="28"/>
      <x:c r="J80" s="28" t="s">
        <x:v>129</x:v>
      </x:c>
      <x:c r="K80" s="31" t="n">
        <x:f>IFERROR(INDEX('대시보드'!$B$43:$B$47,MATCH(F80,'대시보드'!$A$43:$A$47,0)),0)</x:f>
        <x:v>0</x:v>
      </x:c>
      <x:c r="L80" s="27" t="str">
        <x:f t="shared" si="2">IF(AND(C80="P0",F80&lt;&gt;"완료",F80&lt;&gt;"해당 없음"),"차단","")</x:f>
        <x:v>차단</x:v>
      </x:c>
      <x:c r="M80" s="32"/>
    </x:row>
    <x:row r="81" ht="34.04999923706055" customHeight="1">
      <x:c r="A81" s="26" t="s">
        <x:v>266</x:v>
      </x:c>
      <x:c r="B81" s="27" t="s">
        <x:v>26</x:v>
      </x:c>
      <x:c r="C81" s="27" t="s">
        <x:v>45</x:v>
      </x:c>
      <x:c r="D81" s="27" t="s">
        <x:v>167</x:v>
      </x:c>
      <x:c r="E81" s="28" t="s">
        <x:v>267</x:v>
      </x:c>
      <x:c r="F81" s="29" t="s">
        <x:v>14</x:v>
      </x:c>
      <x:c r="G81" s="29"/>
      <x:c r="H81" s="30"/>
      <x:c r="I81" s="28"/>
      <x:c r="J81" s="28"/>
      <x:c r="K81" s="31" t="n">
        <x:f>IFERROR(INDEX('대시보드'!$B$43:$B$47,MATCH(F81,'대시보드'!$A$43:$A$47,0)),0)</x:f>
        <x:v>0</x:v>
      </x:c>
      <x:c r="L81" s="27" t="str">
        <x:f t="shared" si="2">IF(AND(C81="P0",F81&lt;&gt;"완료",F81&lt;&gt;"해당 없음"),"차단","")</x:f>
        <x:v>차단</x:v>
      </x:c>
      <x:c r="M81" s="32"/>
    </x:row>
    <x:row r="82" ht="34.04999923706055" customHeight="1">
      <x:c r="A82" s="26" t="s">
        <x:v>268</x:v>
      </x:c>
      <x:c r="B82" s="27" t="s">
        <x:v>26</x:v>
      </x:c>
      <x:c r="C82" s="27" t="s">
        <x:v>107</x:v>
      </x:c>
      <x:c r="D82" s="27" t="s">
        <x:v>91</x:v>
      </x:c>
      <x:c r="E82" s="28" t="s">
        <x:v>269</x:v>
      </x:c>
      <x:c r="F82" s="29" t="s">
        <x:v>14</x:v>
      </x:c>
      <x:c r="G82" s="29"/>
      <x:c r="H82" s="30"/>
      <x:c r="I82" s="28"/>
      <x:c r="J82" s="28"/>
      <x:c r="K82" s="31" t="n">
        <x:f>IFERROR(INDEX('대시보드'!$B$43:$B$47,MATCH(F82,'대시보드'!$A$43:$A$47,0)),0)</x:f>
        <x:v>0</x:v>
      </x:c>
      <x:c r="L82" s="27" t="str">
        <x:f t="shared" si="2">IF(AND(C82="P0",F82&lt;&gt;"완료",F82&lt;&gt;"해당 없음"),"차단","")</x:f>
      </x:c>
      <x:c r="M82" s="32"/>
    </x:row>
    <x:row r="83" ht="34.04999923706055" customHeight="1">
      <x:c r="A83" s="26" t="s">
        <x:v>270</x:v>
      </x:c>
      <x:c r="B83" s="27" t="s">
        <x:v>27</x:v>
      </x:c>
      <x:c r="C83" s="27" t="s">
        <x:v>271</x:v>
      </x:c>
      <x:c r="D83" s="27" t="s">
        <x:v>87</x:v>
      </x:c>
      <x:c r="E83" s="28" t="s">
        <x:v>272</x:v>
      </x:c>
      <x:c r="F83" s="29" t="s">
        <x:v>14</x:v>
      </x:c>
      <x:c r="G83" s="29"/>
      <x:c r="H83" s="30"/>
      <x:c r="I83" s="28"/>
      <x:c r="J83" s="28"/>
      <x:c r="K83" s="31" t="n">
        <x:f>IFERROR(INDEX('대시보드'!$B$43:$B$47,MATCH(F83,'대시보드'!$A$43:$A$47,0)),0)</x:f>
        <x:v>0</x:v>
      </x:c>
      <x:c r="L83" s="27" t="str">
        <x:f t="shared" si="2">IF(AND(C83="P0",F83&lt;&gt;"완료",F83&lt;&gt;"해당 없음"),"차단","")</x:f>
      </x:c>
      <x:c r="M83" s="32"/>
    </x:row>
    <x:row r="84" ht="34.04999923706055" customHeight="1">
      <x:c r="A84" s="26" t="s">
        <x:v>273</x:v>
      </x:c>
      <x:c r="B84" s="27" t="s">
        <x:v>27</x:v>
      </x:c>
      <x:c r="C84" s="27" t="s">
        <x:v>271</x:v>
      </x:c>
      <x:c r="D84" s="27" t="s">
        <x:v>87</x:v>
      </x:c>
      <x:c r="E84" s="28" t="s">
        <x:v>274</x:v>
      </x:c>
      <x:c r="F84" s="29" t="s">
        <x:v>14</x:v>
      </x:c>
      <x:c r="G84" s="29"/>
      <x:c r="H84" s="30"/>
      <x:c r="I84" s="28"/>
      <x:c r="J84" s="28"/>
      <x:c r="K84" s="31" t="n">
        <x:f>IFERROR(INDEX('대시보드'!$B$43:$B$47,MATCH(F84,'대시보드'!$A$43:$A$47,0)),0)</x:f>
        <x:v>0</x:v>
      </x:c>
      <x:c r="L84" s="27" t="str">
        <x:f t="shared" si="2">IF(AND(C84="P0",F84&lt;&gt;"완료",F84&lt;&gt;"해당 없음"),"차단","")</x:f>
      </x:c>
      <x:c r="M84" s="32"/>
    </x:row>
    <x:row r="85" ht="34.04999923706055" customHeight="1">
      <x:c r="A85" s="26" t="s">
        <x:v>275</x:v>
      </x:c>
      <x:c r="B85" s="27" t="s">
        <x:v>27</x:v>
      </x:c>
      <x:c r="C85" s="27" t="s">
        <x:v>271</x:v>
      </x:c>
      <x:c r="D85" s="27" t="s">
        <x:v>276</x:v>
      </x:c>
      <x:c r="E85" s="28" t="s">
        <x:v>277</x:v>
      </x:c>
      <x:c r="F85" s="29" t="s">
        <x:v>14</x:v>
      </x:c>
      <x:c r="G85" s="29"/>
      <x:c r="H85" s="30"/>
      <x:c r="I85" s="28"/>
      <x:c r="J85" s="28"/>
      <x:c r="K85" s="31" t="n">
        <x:f>IFERROR(INDEX('대시보드'!$B$43:$B$47,MATCH(F85,'대시보드'!$A$43:$A$47,0)),0)</x:f>
        <x:v>0</x:v>
      </x:c>
      <x:c r="L85" s="27" t="str">
        <x:f t="shared" si="2">IF(AND(C85="P0",F85&lt;&gt;"완료",F85&lt;&gt;"해당 없음"),"차단","")</x:f>
      </x:c>
      <x:c r="M85" s="32"/>
    </x:row>
    <x:row r="86" ht="34.04999923706055" customHeight="1">
      <x:c r="A86" s="26" t="s">
        <x:v>278</x:v>
      </x:c>
      <x:c r="B86" s="27" t="s">
        <x:v>27</x:v>
      </x:c>
      <x:c r="C86" s="27" t="s">
        <x:v>271</x:v>
      </x:c>
      <x:c r="D86" s="27" t="s">
        <x:v>279</x:v>
      </x:c>
      <x:c r="E86" s="28" t="s">
        <x:v>280</x:v>
      </x:c>
      <x:c r="F86" s="29" t="s">
        <x:v>14</x:v>
      </x:c>
      <x:c r="G86" s="29"/>
      <x:c r="H86" s="30"/>
      <x:c r="I86" s="28"/>
      <x:c r="J86" s="28"/>
      <x:c r="K86" s="31" t="n">
        <x:f>IFERROR(INDEX('대시보드'!$B$43:$B$47,MATCH(F86,'대시보드'!$A$43:$A$47,0)),0)</x:f>
        <x:v>0</x:v>
      </x:c>
      <x:c r="L86" s="27" t="str">
        <x:f t="shared" si="2">IF(AND(C86="P0",F86&lt;&gt;"완료",F86&lt;&gt;"해당 없음"),"차단","")</x:f>
      </x:c>
      <x:c r="M86" s="32"/>
    </x:row>
    <x:row r="87" ht="34.04999923706055" customHeight="1">
      <x:c r="A87" s="33" t="s">
        <x:v>281</x:v>
      </x:c>
      <x:c r="B87" s="34" t="s">
        <x:v>27</x:v>
      </x:c>
      <x:c r="C87" s="34" t="s">
        <x:v>271</x:v>
      </x:c>
      <x:c r="D87" s="34" t="s">
        <x:v>282</x:v>
      </x:c>
      <x:c r="E87" s="35" t="s">
        <x:v>283</x:v>
      </x:c>
      <x:c r="F87" s="36" t="s">
        <x:v>14</x:v>
      </x:c>
      <x:c r="G87" s="36"/>
      <x:c r="H87" s="37"/>
      <x:c r="I87" s="35"/>
      <x:c r="J87" s="35"/>
      <x:c r="K87" s="38" t="n">
        <x:f>IFERROR(INDEX('대시보드'!$B$43:$B$47,MATCH(F87,'대시보드'!$A$43:$A$47,0)),0)</x:f>
        <x:v>0</x:v>
      </x:c>
      <x:c r="L87" s="34" t="str">
        <x:f t="shared" si="2">IF(AND(C87="P0",F87&lt;&gt;"완료",F87&lt;&gt;"해당 없음"),"차단","")</x:f>
      </x:c>
      <x:c r="M87" s="39"/>
    </x:row>
    <x:row r="88">
      <x:c r="A88" t="str">
        <x:v>W26</x:v>
      </x:c>
      <x:c r="B88" t="str">
        <x:v>무료 웹</x:v>
      </x:c>
      <x:c r="C88" t="str">
        <x:v>P0</x:v>
      </x:c>
      <x:c r="D88" t="str">
        <x:v>코드·배포</x:v>
      </x:c>
      <x:c r="E88" t="str">
        <x:v>PR #6을 최신 main 기준으로 재작성하고 충돌·대규모 회귀 제거</x:v>
      </x:c>
      <x:c r="F88" t="str">
        <x:v>미완료</x:v>
      </x:c>
      <x:c r="G88" t="str">
        <x:v>Codex</x:v>
      </x:c>
      <x:c r="H88"/>
      <x:c r="I88" t="str">
        <x:v>현재 PR #6은 DRAFT·CONFLICTING이며 main의 가격/크레딧 구현을 대량 제거</x:v>
      </x:c>
      <x:c r="J88" t="str">
        <x:v>https://github.com/donghun403-dotcom/on-my-way/pull/6</x:v>
      </x:c>
      <x:c r="K88" t="n">
        <x:f>IFERROR(INDEX('대시보드'!$B$43:$B$47,MATCH(F88,'대시보드'!$A$43:$A$47,0)),0)</x:f>
        <x:v>0</x:v>
      </x:c>
      <x:c r="L88" t="str">
        <x:f>IF(AND(C88="P0",F88&lt;&gt;"완료",F88&lt;&gt;"해당 없음"),"차단","")</x:f>
        <x:v>차단</x:v>
      </x:c>
      <x:c r="M88" s="105" t="n">
        <x:v>46218</x:v>
      </x:c>
    </x:row>
    <x:row r="89">
      <x:c r="A89" t="str">
        <x:v>W27</x:v>
      </x:c>
      <x:c r="B89" t="str">
        <x:v>무료 웹</x:v>
      </x:c>
      <x:c r="C89" t="str">
        <x:v>P0</x:v>
      </x:c>
      <x:c r="D89" t="str">
        <x:v>품질</x:v>
      </x:c>
      <x:c r="E89" t="str">
        <x:v>재작성한 정책 수정 PR의 전체 Preview 검사 통과</x:v>
      </x:c>
      <x:c r="F89" t="str">
        <x:v>미완료</x:v>
      </x:c>
      <x:c r="G89" t="str">
        <x:v>Codex</x:v>
      </x:c>
      <x:c r="H89"/>
      <x:c r="I89" t="str">
        <x:v>현재 head ff33b5d에는 status check 없음</x:v>
      </x:c>
      <x:c r="J89" t="str">
        <x:v>https://github.com/donghun403-dotcom/on-my-way/pull/6</x:v>
      </x:c>
      <x:c r="K89" t="n">
        <x:f>IFERROR(INDEX('대시보드'!$B$43:$B$47,MATCH(F89,'대시보드'!$A$43:$A$47,0)),0)</x:f>
        <x:v>0</x:v>
      </x:c>
      <x:c r="L89" t="str">
        <x:f>IF(AND(C89="P0",F89&lt;&gt;"완료",F89&lt;&gt;"해당 없음"),"차단","")</x:f>
        <x:v>차단</x:v>
      </x:c>
      <x:c r="M89" s="105" t="n">
        <x:v>46218</x:v>
      </x:c>
    </x:row>
    <x:row r="90">
      <x:c r="A90" t="str">
        <x:v>W28</x:v>
      </x:c>
      <x:c r="B90" t="str">
        <x:v>무료 웹</x:v>
      </x:c>
      <x:c r="C90" t="str">
        <x:v>P0</x:v>
      </x:c>
      <x:c r="D90" t="str">
        <x:v>출시</x:v>
      </x:c>
      <x:c r="E90" t="str">
        <x:v>병합 후 Production 성공 및 마이페이지·가격 정책 운영 확인</x:v>
      </x:c>
      <x:c r="F90" t="str">
        <x:v>미완료</x:v>
      </x:c>
      <x:c r="G90" t="str">
        <x:v>사용자 QA</x:v>
      </x:c>
      <x:c r="H90"/>
      <x:c r="I90" t="str">
        <x:v>최신 운영 배포는 main 6245a77 기준 · PR #6 정책 수정은 미반영</x:v>
      </x:c>
      <x:c r="J90" t="str">
        <x:v>https://github.com/donghun403-dotcom/on-my-way/actions/runs/29404083728</x:v>
      </x:c>
      <x:c r="K90" t="n">
        <x:f>IFERROR(INDEX('대시보드'!$B$43:$B$47,MATCH(F90,'대시보드'!$A$43:$A$47,0)),0)</x:f>
        <x:v>0</x:v>
      </x:c>
      <x:c r="L90" t="str">
        <x:f>IF(AND(C90="P0",F90&lt;&gt;"완료",F90&lt;&gt;"해당 없음"),"차단","")</x:f>
        <x:v>차단</x:v>
      </x:c>
      <x:c r="M90" s="105" t="n">
        <x:v>46218</x:v>
      </x:c>
    </x:row>
  </x:sheetData>
  <x:mergeCells>
    <x:mergeCell ref="A1:M2"/>
    <x:mergeCell ref="A3:M3"/>
  </x:mergeCells>
  <x:conditionalFormatting sqref="F6:F87">
    <x:cfRule type="expression" dxfId="6" priority="1">
      <x:formula>$F6="완료"</x:formula>
    </x:cfRule>
    <x:cfRule type="expression" dxfId="5" priority="2">
      <x:formula>$F6="진행 중"</x:formula>
    </x:cfRule>
    <x:cfRule type="expression" dxfId="4" priority="3">
      <x:formula>$F6="미완료"</x:formula>
    </x:cfRule>
    <x:cfRule type="expression" dxfId="3" priority="4">
      <x:formula>$F6="확인 필요"</x:formula>
    </x:cfRule>
  </x:conditionalFormatting>
  <x:conditionalFormatting sqref="K6:K87">
    <x:cfRule type="dataBar" priority="6">
      <x:dataBar>
        <x:cfvo type="min"/>
        <x:cfvo type="max"/>
        <x:color rgb="FF87C9B6"/>
      </x:dataBar>
    </x:cfRule>
    <x:cfRule type="dataBar" priority="7">
      <x:dataBar>
        <x:cfvo type="min"/>
        <x:cfvo type="max"/>
        <x:color rgb="FF87C9B6"/>
      </x:dataBar>
      <x:extLst>
        <x:ext xmlns:x14="http://schemas.microsoft.com/office/spreadsheetml/2009/9/main" uri="{B025F937-C7B1-47D3-B67F-A62EFF666E3E}">
          <x14:id>{79319361-0F1A-17A9-B77C-8DD2FF1777C6}</x14:id>
        </x:ext>
      </x:extLst>
    </x:cfRule>
  </x:conditionalFormatting>
  <x:conditionalFormatting sqref="L6:L87">
    <x:cfRule type="containsText" dxfId="2" priority="5" operator="containsText" text="차단"/>
  </x:conditionalFormatting>
  <x:dataValidations count="3">
    <x:dataValidation type="list" sqref="F6:F87">
      <x:formula1>"완료,진행 중,미완료,확인 필요,해당 없음"</x:formula1>
    </x:dataValidation>
    <x:dataValidation type="list" sqref="C6:C87">
      <x:formula1>"P0,P1,P2"</x:formula1>
    </x:dataValidation>
    <x:dataValidation type="list" sqref="B6:B87">
      <x:formula1>"공통,무료 웹,스토어,유료,백로그"</x:formula1>
    </x:dataValidation>
  </x:dataValidations>
  <x:pageMargins left="0.7" right="0.7" top="0.75" bottom="0.75" header="0.3" footer="0.3"/>
  <x:drawing xmlns:r="http://schemas.openxmlformats.org/officeDocument/2006/relationships" r:id="R3ca17cbef2e04e76"/>
  <x:legacyDrawing xmlns:r="http://schemas.openxmlformats.org/officeDocument/2006/relationships" r:id="R198d8c87782942de"/>
  <x:tableParts count="1">
    <x:tablePart xmlns:r="http://schemas.openxmlformats.org/officeDocument/2006/relationships" r:id="Rec5602da2d19422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79319361-0F1A-17A9-B77C-8DD2FF1777C6}">
            <x14:dataBar>
              <x14:cfvo type="min"/>
              <x14:cfvo type="max"/>
              <x14:fillColor rgb="FF87C9B6"/>
              <x14:negativeFillColor auto="1"/>
              <x14:axisColor auto="1"/>
            </x14:dataBar>
          </x14:cfRule>
          <xm:sqref>K6:K87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2" customWidth="1"/>
    <x:col min="2" max="2" width="11" customWidth="1"/>
    <x:col min="3" max="3" width="12" customWidth="1"/>
    <x:col min="4" max="4" width="11" customWidth="1"/>
    <x:col min="5" max="5" width="13" customWidth="1"/>
    <x:col min="6" max="6" width="11" customWidth="1"/>
    <x:col min="7" max="7" width="12" customWidth="1"/>
    <x:col min="8" max="13" width="11" customWidth="1"/>
    <x:col min="14" max="15" width="28" customWidth="1"/>
    <x:col min="16" max="16" width="11" customWidth="1"/>
    <x:col min="17" max="17" width="32" customWidth="1"/>
  </x:cols>
  <x:sheetData>
    <x:row r="1" ht="30" customHeight="1">
      <x:c r="A1" s="104" t="s">
        <x:v>284</x:v>
      </x:c>
      <x:c r="B1" s="104"/>
      <x:c r="C1" s="104"/>
      <x:c r="D1" s="104"/>
      <x:c r="E1" s="104"/>
      <x:c r="F1" s="104"/>
      <x:c r="G1" s="104"/>
      <x:c r="H1" s="104"/>
      <x:c r="I1" s="104"/>
      <x:c r="J1" s="104"/>
      <x:c r="K1" s="104"/>
      <x:c r="L1" s="104"/>
      <x:c r="M1" s="104"/>
      <x:c r="N1" s="104"/>
      <x:c r="O1" s="104"/>
      <x:c r="P1" s="104"/>
      <x:c r="Q1" s="104"/>
    </x:row>
    <x:row r="2" ht="30" customHeight="1">
      <x:c r="A2" s="104"/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</x:row>
    <x:row r="3" ht="17.399999618530273">
      <x:c r="A3" s="67" t="s">
        <x:v>285</x:v>
      </x:c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</x:row>
    <x:row r="4" ht="17.399999618530273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40" t="s">
        <x:v>286</x:v>
      </x:c>
      <x:c r="B5" s="41" t="s">
        <x:v>287</x:v>
      </x:c>
      <x:c r="C5" s="41" t="s">
        <x:v>288</x:v>
      </x:c>
      <x:c r="D5" s="41" t="s">
        <x:v>289</x:v>
      </x:c>
      <x:c r="E5" s="41" t="s">
        <x:v>290</x:v>
      </x:c>
      <x:c r="F5" s="41" t="s">
        <x:v>291</x:v>
      </x:c>
      <x:c r="G5" s="41" t="s">
        <x:v>292</x:v>
      </x:c>
      <x:c r="H5" s="41" t="s">
        <x:v>293</x:v>
      </x:c>
      <x:c r="I5" s="41" t="s">
        <x:v>294</x:v>
      </x:c>
      <x:c r="J5" s="41" t="s">
        <x:v>295</x:v>
      </x:c>
      <x:c r="K5" s="41" t="s">
        <x:v>296</x:v>
      </x:c>
      <x:c r="L5" s="41" t="s">
        <x:v>297</x:v>
      </x:c>
      <x:c r="M5" s="41" t="s">
        <x:v>298</x:v>
      </x:c>
      <x:c r="N5" s="41" t="s">
        <x:v>299</x:v>
      </x:c>
      <x:c r="O5" s="41" t="s">
        <x:v>300</x:v>
      </x:c>
      <x:c r="P5" s="41" t="s">
        <x:v>301</x:v>
      </x:c>
      <x:c r="Q5" s="42" t="s">
        <x:v>302</x:v>
      </x:c>
    </x:row>
    <x:row r="6" ht="30" customHeight="1">
      <x:c r="A6" s="43">
        <x:v>46218</x:v>
      </x:c>
      <x:c r="B6" s="44" t="s">
        <x:v>303</x:v>
      </x:c>
      <x:c r="C6" s="44" t="s">
        <x:v>303</x:v>
      </x:c>
      <x:c r="D6" s="44" t="s">
        <x:v>303</x:v>
      </x:c>
      <x:c r="E6" s="44" t="s">
        <x:v>303</x:v>
      </x:c>
      <x:c r="F6" s="44" t="s">
        <x:v>303</x:v>
      </x:c>
      <x:c r="G6" s="44" t="s">
        <x:v>303</x:v>
      </x:c>
      <x:c r="H6" s="44" t="s">
        <x:v>303</x:v>
      </x:c>
      <x:c r="I6" s="44" t="s">
        <x:v>303</x:v>
      </x:c>
      <x:c r="J6" s="44" t="s">
        <x:v>304</x:v>
      </x:c>
      <x:c r="K6" s="44" t="s">
        <x:v>303</x:v>
      </x:c>
      <x:c r="L6" s="44">
        <x:v>0</x:v>
      </x:c>
      <x:c r="M6" s="44">
        <x:v>0</x:v>
      </x:c>
      <x:c r="N6" s="15"/>
      <x:c r="O6" s="15"/>
      <x:c r="P6" s="15" t="str">
        <x:f t="shared" ref="P6:P36" si="0">IF(COUNTA(A6:O6)=0,"",IF(AND(B6="정상",C6="정상",D6="성공",E6="정상",F6="정상",G6="정상",H6="없음",I6="없음",J6="유지",K6="없음",L6=0,M6=0),"GO","HOLD"))</x:f>
        <x:v>HOLD</x:v>
      </x:c>
      <x:c r="Q6" s="16"/>
    </x:row>
    <x:row r="7" ht="30" customHeight="1">
      <x:c r="A7" s="43"/>
      <x:c r="B7" s="44"/>
      <x:c r="C7" s="44"/>
      <x:c r="D7" s="44"/>
      <x:c r="E7" s="44"/>
      <x:c r="F7" s="44"/>
      <x:c r="G7" s="44"/>
      <x:c r="H7" s="44"/>
      <x:c r="I7" s="44"/>
      <x:c r="J7" s="44"/>
      <x:c r="K7" s="44"/>
      <x:c r="L7" s="44"/>
      <x:c r="M7" s="44"/>
      <x:c r="N7" s="15"/>
      <x:c r="O7" s="15"/>
      <x:c r="P7" s="15" t="str">
        <x:f t="shared" si="0"/>
      </x:c>
      <x:c r="Q7" s="16"/>
    </x:row>
    <x:row r="8" ht="30" customHeight="1">
      <x:c r="A8" s="43"/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15"/>
      <x:c r="O8" s="15"/>
      <x:c r="P8" s="15" t="str">
        <x:f t="shared" si="0"/>
      </x:c>
      <x:c r="Q8" s="16"/>
    </x:row>
    <x:row r="9" ht="30" customHeight="1">
      <x:c r="A9" s="43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15"/>
      <x:c r="O9" s="15"/>
      <x:c r="P9" s="15" t="str">
        <x:f t="shared" si="0"/>
      </x:c>
      <x:c r="Q9" s="16"/>
    </x:row>
    <x:row r="10" ht="30" customHeight="1">
      <x:c r="A10" s="43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15"/>
      <x:c r="O10" s="15"/>
      <x:c r="P10" s="15" t="str">
        <x:f t="shared" si="0"/>
      </x:c>
      <x:c r="Q10" s="16"/>
    </x:row>
    <x:row r="11" ht="30" customHeight="1">
      <x:c r="A11" s="43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15"/>
      <x:c r="O11" s="15"/>
      <x:c r="P11" s="15" t="str">
        <x:f t="shared" si="0"/>
      </x:c>
      <x:c r="Q11" s="16"/>
    </x:row>
    <x:row r="12" ht="30" customHeight="1">
      <x:c r="A12" s="43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15"/>
      <x:c r="O12" s="15"/>
      <x:c r="P12" s="15" t="str">
        <x:f t="shared" si="0"/>
      </x:c>
      <x:c r="Q12" s="16"/>
    </x:row>
    <x:row r="13" ht="30" customHeight="1">
      <x:c r="A13" s="43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15"/>
      <x:c r="O13" s="15"/>
      <x:c r="P13" s="15" t="str">
        <x:f t="shared" si="0"/>
      </x:c>
      <x:c r="Q13" s="16"/>
    </x:row>
    <x:row r="14" ht="30" customHeight="1">
      <x:c r="A14" s="43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15"/>
      <x:c r="O14" s="15"/>
      <x:c r="P14" s="15" t="str">
        <x:f t="shared" si="0"/>
      </x:c>
      <x:c r="Q14" s="16"/>
    </x:row>
    <x:row r="15" ht="30" customHeight="1">
      <x:c r="A15" s="43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15"/>
      <x:c r="O15" s="15"/>
      <x:c r="P15" s="15" t="str">
        <x:f t="shared" si="0"/>
      </x:c>
      <x:c r="Q15" s="16"/>
    </x:row>
    <x:row r="16" ht="30" customHeight="1">
      <x:c r="A16" s="43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15"/>
      <x:c r="O16" s="15"/>
      <x:c r="P16" s="15" t="str">
        <x:f t="shared" si="0"/>
      </x:c>
      <x:c r="Q16" s="16"/>
    </x:row>
    <x:row r="17" ht="30" customHeight="1">
      <x:c r="A17" s="43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15"/>
      <x:c r="O17" s="15"/>
      <x:c r="P17" s="15" t="str">
        <x:f t="shared" si="0"/>
      </x:c>
      <x:c r="Q17" s="16"/>
    </x:row>
    <x:row r="18" ht="30" customHeight="1">
      <x:c r="A18" s="43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15"/>
      <x:c r="O18" s="15"/>
      <x:c r="P18" s="15" t="str">
        <x:f t="shared" si="0"/>
      </x:c>
      <x:c r="Q18" s="16"/>
    </x:row>
    <x:row r="19" ht="30" customHeight="1">
      <x:c r="A19" s="43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15"/>
      <x:c r="O19" s="15"/>
      <x:c r="P19" s="15" t="str">
        <x:f t="shared" si="0"/>
      </x:c>
      <x:c r="Q19" s="16"/>
    </x:row>
    <x:row r="20" ht="30" customHeight="1">
      <x:c r="A20" s="43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15"/>
      <x:c r="O20" s="15"/>
      <x:c r="P20" s="15" t="str">
        <x:f t="shared" si="0"/>
      </x:c>
      <x:c r="Q20" s="16"/>
    </x:row>
    <x:row r="21" ht="30" customHeight="1">
      <x:c r="A21" s="43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15"/>
      <x:c r="O21" s="15"/>
      <x:c r="P21" s="15" t="str">
        <x:f t="shared" si="0"/>
      </x:c>
      <x:c r="Q21" s="16"/>
    </x:row>
    <x:row r="22" ht="30" customHeight="1">
      <x:c r="A22" s="43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15"/>
      <x:c r="O22" s="15"/>
      <x:c r="P22" s="15" t="str">
        <x:f t="shared" si="0"/>
      </x:c>
      <x:c r="Q22" s="16"/>
    </x:row>
    <x:row r="23" ht="30" customHeight="1">
      <x:c r="A23" s="43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15"/>
      <x:c r="O23" s="15"/>
      <x:c r="P23" s="15" t="str">
        <x:f t="shared" si="0"/>
      </x:c>
      <x:c r="Q23" s="16"/>
    </x:row>
    <x:row r="24" ht="30" customHeight="1">
      <x:c r="A24" s="43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15"/>
      <x:c r="O24" s="15"/>
      <x:c r="P24" s="15" t="str">
        <x:f t="shared" si="0"/>
      </x:c>
      <x:c r="Q24" s="16"/>
    </x:row>
    <x:row r="25" ht="30" customHeight="1">
      <x:c r="A25" s="43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15"/>
      <x:c r="O25" s="15"/>
      <x:c r="P25" s="15" t="str">
        <x:f t="shared" si="0"/>
      </x:c>
      <x:c r="Q25" s="16"/>
    </x:row>
    <x:row r="26" ht="30" customHeight="1">
      <x:c r="A26" s="43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15"/>
      <x:c r="O26" s="15"/>
      <x:c r="P26" s="15" t="str">
        <x:f t="shared" si="0"/>
      </x:c>
      <x:c r="Q26" s="16"/>
    </x:row>
    <x:row r="27" ht="30" customHeight="1">
      <x:c r="A27" s="43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15"/>
      <x:c r="O27" s="15"/>
      <x:c r="P27" s="15" t="str">
        <x:f t="shared" si="0"/>
      </x:c>
      <x:c r="Q27" s="16"/>
    </x:row>
    <x:row r="28" ht="30" customHeight="1">
      <x:c r="A28" s="43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15"/>
      <x:c r="O28" s="15"/>
      <x:c r="P28" s="15" t="str">
        <x:f t="shared" si="0"/>
      </x:c>
      <x:c r="Q28" s="16"/>
    </x:row>
    <x:row r="29" ht="30" customHeight="1">
      <x:c r="A29" s="43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15"/>
      <x:c r="O29" s="15"/>
      <x:c r="P29" s="15" t="str">
        <x:f t="shared" si="0"/>
      </x:c>
      <x:c r="Q29" s="16"/>
    </x:row>
    <x:row r="30" ht="30" customHeight="1">
      <x:c r="A30" s="43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15"/>
      <x:c r="O30" s="15"/>
      <x:c r="P30" s="15" t="str">
        <x:f t="shared" si="0"/>
      </x:c>
      <x:c r="Q30" s="16"/>
    </x:row>
    <x:row r="31" ht="30" customHeight="1">
      <x:c r="A31" s="43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15"/>
      <x:c r="O31" s="15"/>
      <x:c r="P31" s="15" t="str">
        <x:f t="shared" si="0"/>
      </x:c>
      <x:c r="Q31" s="16"/>
    </x:row>
    <x:row r="32" ht="30" customHeight="1">
      <x:c r="A32" s="43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15"/>
      <x:c r="O32" s="15"/>
      <x:c r="P32" s="15" t="str">
        <x:f t="shared" si="0"/>
      </x:c>
      <x:c r="Q32" s="16"/>
    </x:row>
    <x:row r="33" ht="30" customHeight="1">
      <x:c r="A33" s="43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15"/>
      <x:c r="O33" s="15"/>
      <x:c r="P33" s="15" t="str">
        <x:f t="shared" si="0"/>
      </x:c>
      <x:c r="Q33" s="16"/>
    </x:row>
    <x:row r="34" ht="30" customHeight="1">
      <x:c r="A34" s="43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15"/>
      <x:c r="O34" s="15"/>
      <x:c r="P34" s="15" t="str">
        <x:f t="shared" si="0"/>
      </x:c>
      <x:c r="Q34" s="16"/>
    </x:row>
    <x:row r="35" ht="30" customHeight="1">
      <x:c r="A35" s="43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15"/>
      <x:c r="O35" s="15"/>
      <x:c r="P35" s="15" t="str">
        <x:f t="shared" si="0"/>
      </x:c>
      <x:c r="Q35" s="16"/>
    </x:row>
    <x:row r="36" ht="30" customHeight="1">
      <x:c r="A36" s="45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17"/>
      <x:c r="O36" s="17"/>
      <x:c r="P36" s="17" t="str">
        <x:f t="shared" si="0"/>
      </x:c>
      <x:c r="Q36" s="18"/>
    </x:row>
  </x:sheetData>
  <x:mergeCells>
    <x:mergeCell ref="A1:Q2"/>
    <x:mergeCell ref="A3:Q3"/>
  </x:mergeCells>
  <x:conditionalFormatting sqref="P6:P36">
    <x:cfRule type="containsText" dxfId="1" priority="1" operator="containsText" text="GO"/>
    <x:cfRule type="containsText" dxfId="0" priority="2" operator="containsText" text="HOLD"/>
  </x:conditionalFormatting>
  <x:dataValidations count="5">
    <x:dataValidation type="list" sqref="B6:C36 E6:G36">
      <x:formula1>"정상,비정상,미점검"</x:formula1>
    </x:dataValidation>
    <x:dataValidation type="list" sqref="D6:D36">
      <x:formula1>"성공,실패,미점검"</x:formula1>
    </x:dataValidation>
    <x:dataValidation type="list" sqref="H6:I36 K6:K36">
      <x:formula1>"없음,있음,미점검"</x:formula1>
    </x:dataValidation>
    <x:dataValidation type="list" sqref="J6:J36">
      <x:formula1>"유지,활성,미점검"</x:formula1>
    </x:dataValidation>
    <x:dataValidation type="whole" sqref="L6:M36">
      <x:formula1>0</x:formula1>
      <x:formula2>999</x:formula2>
    </x:dataValidation>
  </x:dataValidations>
  <x:pageMargins left="0.7" right="0.7" top="0.75" bottom="0.75" header="0.3" footer="0.3"/>
  <x:drawing xmlns:r="http://schemas.openxmlformats.org/officeDocument/2006/relationships" r:id="Rb408c77651364da1"/>
  <x:legacyDrawing xmlns:r="http://schemas.openxmlformats.org/officeDocument/2006/relationships" r:id="Re8ed27a9362b4855"/>
  <x:tableParts count="1">
    <x:tablePart xmlns:r="http://schemas.openxmlformats.org/officeDocument/2006/relationships" r:id="Re8374951b0174f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1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108" t="str">
        <x:v>On My Way 출시 준비 · Codex 점검 결과</x:v>
      </x:c>
      <x:c r="B1" s="108"/>
      <x:c r="C1" s="108"/>
      <x:c r="D1" s="108"/>
      <x:c r="E1" s="108"/>
      <x:c r="F1" s="108"/>
      <x:c r="G1" s="108"/>
      <x:c r="H1" s="108"/>
    </x:row>
    <x:row r="2" ht="28" customHeight="1">
      <x:c r="A2" s="108"/>
      <x:c r="B2" s="108"/>
      <x:c r="C2" s="108"/>
      <x:c r="D2" s="108"/>
      <x:c r="E2" s="108"/>
      <x:c r="F2" s="108"/>
      <x:c r="G2" s="108"/>
      <x:c r="H2" s="108"/>
    </x:row>
    <x:row r="3" ht="22" customHeight="1">
      <x:c r="A3" s="111" t="str">
        <x:v>점검일 2026-07-15 · GitHub main/PR/Actions와 저장소 구현을 기준으로 확인</x:v>
      </x:c>
      <x:c r="B3" s="111"/>
      <x:c r="C3" s="111"/>
      <x:c r="D3" s="111"/>
      <x:c r="E3" s="111"/>
      <x:c r="F3" s="111"/>
      <x:c r="G3" s="111"/>
      <x:c r="H3" s="111"/>
    </x:row>
    <x:row r="5" ht="24" customHeight="1">
      <x:c r="A5" s="108" t="str">
        <x:v>현재 확인된 상태</x:v>
      </x:c>
      <x:c r="B5" s="108"/>
      <x:c r="C5" s="108"/>
      <x:c r="D5" s="108"/>
      <x:c r="E5" s="108"/>
      <x:c r="F5" s="108"/>
      <x:c r="G5" s="108"/>
      <x:c r="H5" s="108"/>
    </x:row>
    <x:row r="6" ht="34" customHeight="1">
      <x:c r="A6" s="117" t="str">
        <x:v>운영 배포</x:v>
      </x:c>
      <x:c r="B6" s="139" t="str">
        <x:v>Production run 29404083728 성공 · main 6245a77 운영 반영</x:v>
      </x:c>
      <x:c r="C6" s="140"/>
      <x:c r="D6" s="140"/>
      <x:c r="E6" s="140"/>
      <x:c r="F6" s="140"/>
      <x:c r="G6" s="140"/>
      <x:c r="H6" s="141"/>
    </x:row>
    <x:row r="7" ht="34" customHeight="1">
      <x:c r="A7" s="118" t="str">
        <x:v>main 정책</x:v>
      </x:c>
      <x:c r="B7" s="142" t="str">
        <x:v>Free/Pro 가격·AI 크레딧 정책 PR #5 병합 완료 · 운영 결제는 비활성</x:v>
      </x:c>
      <x:c r="C7" s="143"/>
      <x:c r="D7" s="143"/>
      <x:c r="E7" s="143"/>
      <x:c r="F7" s="143"/>
      <x:c r="G7" s="143"/>
      <x:c r="H7" s="144"/>
    </x:row>
    <x:row r="8" ht="34" customHeight="1">
      <x:c r="A8" s="118" t="str">
        <x:v>PR #6</x:v>
      </x:c>
      <x:c r="B8" s="148" t="str">
        <x:v>DRAFT · CONFLICTING · 최신 head 검사 없음 · 그대로 병합 금지</x:v>
      </x:c>
      <x:c r="C8" s="149"/>
      <x:c r="D8" s="149"/>
      <x:c r="E8" s="149"/>
      <x:c r="F8" s="149"/>
      <x:c r="G8" s="149"/>
      <x:c r="H8" s="150"/>
    </x:row>
    <x:row r="9" ht="34" customHeight="1">
      <x:c r="A9" s="119" t="str">
        <x:v>출시 판단</x:v>
      </x:c>
      <x:c r="B9" s="151" t="str">
        <x:v>무료 웹 베타 HOLD · 스토어 HOLD · 유료 정식 출시 HOLD</x:v>
      </x:c>
      <x:c r="C9" s="152"/>
      <x:c r="D9" s="152"/>
      <x:c r="E9" s="152"/>
      <x:c r="F9" s="152"/>
      <x:c r="G9" s="152"/>
      <x:c r="H9" s="153"/>
    </x:row>
    <x:row r="11" ht="24" customHeight="1">
      <x:c r="A11" s="108" t="str">
        <x:v>당신이 지금 할 일 · 권장 순서</x:v>
      </x:c>
      <x:c r="B11" s="108"/>
      <x:c r="C11" s="108"/>
      <x:c r="D11" s="108"/>
      <x:c r="E11" s="108"/>
      <x:c r="F11" s="108"/>
      <x:c r="G11" s="108"/>
      <x:c r="H11" s="108"/>
    </x:row>
    <x:row r="12" ht="38" customHeight="1">
      <x:c r="A12" s="178" t="n">
        <x:v>1</x:v>
      </x:c>
      <x:c r="B12" s="119" t="str">
        <x:v>코드</x:v>
      </x:c>
      <x:c r="C12" s="181" t="str">
        <x:v>W26</x:v>
      </x:c>
      <x:c r="D12" s="203" t="str">
        <x:v>PR #6은 병합하지 말고 최신 main 기준으로 정책 변경만 재작성</x:v>
      </x:c>
      <x:c r="E12" s="204"/>
      <x:c r="F12" s="204"/>
      <x:c r="G12" s="204"/>
      <x:c r="H12" s="205"/>
    </x:row>
    <x:row r="13" ht="38" customHeight="1">
      <x:c r="A13" s="179" t="n">
        <x:v>2</x:v>
      </x:c>
      <x:c r="B13" s="182" t="str">
        <x:v>품질</x:v>
      </x:c>
      <x:c r="C13" s="183" t="str">
        <x:v>W27</x:v>
      </x:c>
      <x:c r="D13" s="206" t="str">
        <x:v>재작성 PR의 Preview 전체 검사와 회귀 테스트 통과 확인</x:v>
      </x:c>
      <x:c r="E13" s="207"/>
      <x:c r="F13" s="207"/>
      <x:c r="G13" s="207"/>
      <x:c r="H13" s="208"/>
    </x:row>
    <x:row r="14" ht="38" customHeight="1">
      <x:c r="A14" s="179" t="n">
        <x:v>3</x:v>
      </x:c>
      <x:c r="B14" s="182" t="str">
        <x:v>실계정 QA</x:v>
      </x:c>
      <x:c r="C14" s="183" t="str">
        <x:v>W03/W05</x:v>
      </x:c>
      <x:c r="D14" s="206" t="str">
        <x:v>Google 실계정으로 실제 AI 계획 생성과 계정 A/B 격리 수동 확인</x:v>
      </x:c>
      <x:c r="E14" s="207"/>
      <x:c r="F14" s="207"/>
      <x:c r="G14" s="207"/>
      <x:c r="H14" s="208"/>
    </x:row>
    <x:row r="15" ht="38" customHeight="1">
      <x:c r="A15" s="179" t="n">
        <x:v>4</x:v>
      </x:c>
      <x:c r="B15" s="182" t="str">
        <x:v>인증 UI</x:v>
      </x:c>
      <x:c r="C15" s="183" t="str">
        <x:v>W11~W15</x:v>
      </x:c>
      <x:c r="D15" s="206" t="str">
        <x:v>미설정 Kakao·Naver·Apple 숨김 후 주소창·DevTools 비밀값 노출 확인</x:v>
      </x:c>
      <x:c r="E15" s="207"/>
      <x:c r="F15" s="207"/>
      <x:c r="G15" s="207"/>
      <x:c r="H15" s="208"/>
    </x:row>
    <x:row r="16" ht="38" customHeight="1">
      <x:c r="A16" s="179" t="n">
        <x:v>5</x:v>
      </x:c>
      <x:c r="B16" s="182" t="str">
        <x:v>운영</x:v>
      </x:c>
      <x:c r="C16" s="183" t="str">
        <x:v>W10/W20/W21</x:v>
      </x:c>
      <x:c r="D16" s="206" t="str">
        <x:v>Cron 영구 삭제 로그, 홈페이지·health 감시, OAuth·AI·Worker 알림 확인</x:v>
      </x:c>
      <x:c r="E16" s="207"/>
      <x:c r="F16" s="207"/>
      <x:c r="G16" s="207"/>
      <x:c r="H16" s="208"/>
    </x:row>
    <x:row r="17" ht="38" customHeight="1">
      <x:c r="A17" s="179" t="n">
        <x:v>6</x:v>
      </x:c>
      <x:c r="B17" s="182" t="str">
        <x:v>출시 QA</x:v>
      </x:c>
      <x:c r="C17" s="183" t="str">
        <x:v>W24/W25/W28</x:v>
      </x:c>
      <x:c r="D17" s="206" t="str">
        <x:v>모바일 포함 최종 smoke 후 무료 웹 베타 GO 승인</x:v>
      </x:c>
      <x:c r="E17" s="207"/>
      <x:c r="F17" s="207"/>
      <x:c r="G17" s="207"/>
      <x:c r="H17" s="208"/>
    </x:row>
    <x:row r="18" ht="38" customHeight="1">
      <x:c r="A18" s="179" t="n">
        <x:v>7</x:v>
      </x:c>
      <x:c r="B18" s="182" t="str">
        <x:v>스토어</x:v>
      </x:c>
      <x:c r="C18" s="183" t="str">
        <x:v>S02/S03</x:v>
      </x:c>
      <x:c r="D18" s="206" t="str">
        <x:v>Apple Developer와 Google Play Console 가입·신원 확인부터 진행</x:v>
      </x:c>
      <x:c r="E18" s="207"/>
      <x:c r="F18" s="207"/>
      <x:c r="G18" s="207"/>
      <x:c r="H18" s="208"/>
    </x:row>
    <x:row r="19" ht="38" customHeight="1">
      <x:c r="A19" s="179" t="n">
        <x:v>8</x:v>
      </x:c>
      <x:c r="B19" s="182" t="str">
        <x:v>유료</x:v>
      </x:c>
      <x:c r="C19" s="183" t="str">
        <x:v>P01~P03</x:v>
      </x:c>
      <x:c r="D19" s="206" t="str">
        <x:v>사업자·통신판매업, Toss 운영 MID, 정기결제·환불 문구 확정</x:v>
      </x:c>
      <x:c r="E19" s="207"/>
      <x:c r="F19" s="207"/>
      <x:c r="G19" s="207"/>
      <x:c r="H19" s="208"/>
    </x:row>
    <x:row r="20" ht="38" customHeight="1">
      <x:c r="A20" s="180" t="n">
        <x:v>9</x:v>
      </x:c>
      <x:c r="B20" s="117" t="str">
        <x:v>유료</x:v>
      </x:c>
      <x:c r="C20" s="184" t="str">
        <x:v>P04~P12</x:v>
      </x:c>
      <x:c r="D20" s="209" t="str">
        <x:v>법률·결제·스토어 선행 조건 전까지 PAYMENTS_ENABLED=false 유지</x:v>
      </x:c>
      <x:c r="E20" s="210"/>
      <x:c r="F20" s="210"/>
      <x:c r="G20" s="210"/>
      <x:c r="H20" s="211"/>
    </x:row>
    <x:row r="22" ht="24" customHeight="1">
      <x:c r="A22" s="108" t="str">
        <x:v>출시 판정</x:v>
      </x:c>
      <x:c r="B22" s="108"/>
      <x:c r="C22" s="108"/>
      <x:c r="D22" s="108"/>
      <x:c r="E22" s="108" t="str">
        <x:v>자동 요약</x:v>
      </x:c>
      <x:c r="F22" s="108"/>
      <x:c r="G22" s="108"/>
      <x:c r="H22" s="108"/>
    </x:row>
    <x:row r="23" ht="28" customHeight="1">
      <x:c r="A23" s="212" t="str">
        <x:v>게이트</x:v>
      </x:c>
      <x:c r="B23" s="212" t="str">
        <x:v>판정</x:v>
      </x:c>
      <x:c r="C23" s="212" t="str">
        <x:v>핵심 이유</x:v>
      </x:c>
      <x:c r="E23" s="212" t="str">
        <x:v>항목</x:v>
      </x:c>
      <x:c r="F23" s="212" t="str">
        <x:v>건수</x:v>
      </x:c>
    </x:row>
    <x:row r="24" ht="28" customHeight="1">
      <x:c r="A24" s="232" t="str">
        <x:v>무료 웹 베타</x:v>
      </x:c>
      <x:c r="B24" s="247" t="str">
        <x:v>HOLD</x:v>
      </x:c>
      <x:c r="C24" s="234" t="str">
        <x:v>PR #6 충돌 + 실계정/보안/감시 확인 미완료</x:v>
      </x:c>
      <x:c r="E24" s="251" t="str">
        <x:v>완료</x:v>
      </x:c>
      <x:c r="F24" s="263" t="n">
        <x:f>COUNTIF('전체 체크리스트'!$F$6:$F$105,E24)</x:f>
        <x:v>29</x:v>
      </x:c>
    </x:row>
    <x:row r="25" ht="28" customHeight="1">
      <x:c r="A25" s="235" t="str">
        <x:v>스토어 베타</x:v>
      </x:c>
      <x:c r="B25" s="248" t="str">
        <x:v>HOLD</x:v>
      </x:c>
      <x:c r="C25" s="237" t="str">
        <x:v>개발자 계정·패키징·서명·실기기 QA 미완료</x:v>
      </x:c>
      <x:c r="E25" s="253" t="str">
        <x:v>진행 중</x:v>
      </x:c>
      <x:c r="F25" s="264" t="n">
        <x:f>COUNTIF('전체 체크리스트'!$F$6:$F$105,E25)</x:f>
        <x:v>6</x:v>
      </x:c>
    </x:row>
    <x:row r="26" ht="28" customHeight="1">
      <x:c r="A26" s="238" t="str">
        <x:v>유료 정식 출시</x:v>
      </x:c>
      <x:c r="B26" s="249" t="str">
        <x:v>HOLD</x:v>
      </x:c>
      <x:c r="C26" s="240" t="str">
        <x:v>사업·법률·Toss/스토어 결제 선행 조건 미완료</x:v>
      </x:c>
      <x:c r="E26" s="253" t="str">
        <x:v>확인 필요</x:v>
      </x:c>
      <x:c r="F26" s="264" t="n">
        <x:f>COUNTIF('전체 체크리스트'!$F$6:$F$105,E26)</x:f>
        <x:v>5</x:v>
      </x:c>
    </x:row>
    <x:row r="27" ht="28" customHeight="1">
      <x:c r="E27" s="255" t="str">
        <x:v>P0 출시 차단</x:v>
      </x:c>
      <x:c r="F27" s="265" t="n">
        <x:f>'대시보드'!B21</x:f>
        <x:v>43</x:v>
      </x:c>
    </x:row>
    <x:row r="29" ht="28" customHeight="1">
      <x:c r="A29" s="279" t="str">
        <x:v>근거: https://github.com/donghun403-dotcom/on-my-way/pull/6 · https://github.com/donghun403-dotcom/on-my-way/actions/runs/29404083728 · https://github.com/donghun403-dotcom/on-my-way/tree/6245a778b06ac5b4aa0273cba4a120257923cc62</x:v>
      </x:c>
      <x:c r="B29" s="280"/>
      <x:c r="C29" s="280"/>
      <x:c r="D29" s="280"/>
      <x:c r="E29" s="280"/>
      <x:c r="F29" s="280"/>
      <x:c r="G29" s="280"/>
      <x:c r="H29" s="281"/>
    </x:row>
    <x:row r="30" ht="28" customHeight="1">
      <x:c r="A30" s="282"/>
      <x:c r="B30" s="283"/>
      <x:c r="C30" s="283"/>
      <x:c r="D30" s="283"/>
      <x:c r="E30" s="283"/>
      <x:c r="F30" s="283"/>
      <x:c r="G30" s="283"/>
      <x:c r="H30" s="284"/>
    </x:row>
  </x:sheetData>
  <x:mergeCells>
    <x:mergeCell ref="A1:H2"/>
    <x:mergeCell ref="A3:H3"/>
    <x:mergeCell ref="A5:H5"/>
    <x:mergeCell ref="B6:H6"/>
    <x:mergeCell ref="B7:H7"/>
    <x:mergeCell ref="B8:H8"/>
    <x:mergeCell ref="B9:H9"/>
    <x:mergeCell ref="A11:H11"/>
    <x:mergeCell ref="D12:H12"/>
    <x:mergeCell ref="D13:H13"/>
    <x:mergeCell ref="D14:H14"/>
    <x:mergeCell ref="D15:H15"/>
    <x:mergeCell ref="D16:H16"/>
    <x:mergeCell ref="D17:H17"/>
    <x:mergeCell ref="D18:H18"/>
    <x:mergeCell ref="D19:H19"/>
    <x:mergeCell ref="D20:H20"/>
    <x:mergeCell ref="A22:H22"/>
    <x:mergeCell ref="E22:H22"/>
    <x:mergeCell ref="A29:H30"/>
  </x:mergeCells>
  <x:pageMargins left="0.7" right="0.7" top="0.75" bottom="0.75" header="0.3" footer="0.3"/>
</x:worksheet>
</file>